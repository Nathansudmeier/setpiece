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7f4ffa076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ier" sheetId="1" r:id="Rd13529b16a0a4b5c"/>
    <x:sheet xmlns:r="http://schemas.openxmlformats.org/officeDocument/2006/relationships" name="Contentkalender" sheetId="2" r:id="Rfecb82c234fc4a5d"/>
    <x:sheet xmlns:r="http://schemas.openxmlformats.org/officeDocument/2006/relationships" name="Postbriefs" sheetId="3" r:id="R7e29ddec11f54915"/>
    <x:sheet xmlns:r="http://schemas.openxmlformats.org/officeDocument/2006/relationships" name="Resultaten" sheetId="4" r:id="R195215083a50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%"/>
    <x:numFmt numFmtId="202" formatCode="ddd d mmm yyyy"/>
    <x:numFmt numFmtId="203" formatCode="hh:mm"/>
    <x:numFmt numFmtId="204" formatCode="#,##0"/>
  </x:numFmts>
  <x:fonts count="9">
    <x:font>
      <x:sz val="11"/>
      <x:name val="Carlito"/>
    </x:font>
    <x:font>
      <x:b/>
      <x:sz val="20"/>
      <x:color rgb="FFFFFFFF"/>
      <x:name val="Carlito"/>
    </x:font>
    <x:font>
      <x:sz val="10"/>
      <x:color rgb="FF1A5CAD"/>
      <x:name val="Carlito"/>
    </x:font>
    <x:font>
      <x:b/>
      <x:sz val="12"/>
      <x:color rgb="FFFFFFFF"/>
      <x:name val="Carlito"/>
    </x:font>
    <x:font>
      <x:sz val="11"/>
      <x:color rgb="FF1C2737"/>
      <x:name val="Carlito"/>
    </x:font>
    <x:font>
      <x:sz val="10"/>
      <x:color rgb="FF1C2737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9"/>
      <x:color rgb="FF1C27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2A52"/>
      </x:patternFill>
    </x:fill>
    <x:fill>
      <x:patternFill patternType="solid">
        <x:fgColor rgb="FFF0F4FB"/>
      </x:patternFill>
    </x:fill>
    <x:fill>
      <x:patternFill patternType="solid">
        <x:fgColor rgb="FFF5F2EC"/>
      </x:patternFill>
    </x:fill>
    <x:fill>
      <x:patternFill patternType="solid">
        <x:fgColor rgb="FF1A5CAD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</x:fills>
  <x:borders count="16">
    <x:border/>
    <x:border>
      <x:left style="thin">
        <x:color rgb="FFD5DCE8"/>
      </x:left>
      <x:top style="thin">
        <x:color rgb="FFD5DCE8"/>
      </x:top>
    </x:border>
    <x:border>
      <x:top style="thin">
        <x:color rgb="FFD5DCE8"/>
      </x:top>
    </x:border>
    <x:border>
      <x:right style="thin">
        <x:color rgb="FFD5DCE8"/>
      </x:right>
      <x:top style="thin">
        <x:color rgb="FFD5DCE8"/>
      </x:top>
    </x:border>
    <x:border>
      <x:left style="thin">
        <x:color rgb="FFD5DCE8"/>
      </x:left>
    </x:border>
    <x:border>
      <x:right style="thin">
        <x:color rgb="FFD5DCE8"/>
      </x:right>
    </x:border>
    <x:border>
      <x:left style="thin">
        <x:color rgb="FFD5DCE8"/>
      </x:left>
      <x:bottom style="thin">
        <x:color rgb="FFD5DCE8"/>
      </x:bottom>
    </x:border>
    <x:border>
      <x:bottom style="thin">
        <x:color rgb="FFD5DCE8"/>
      </x:bottom>
    </x:border>
    <x:border>
      <x:right style="thin">
        <x:color rgb="FFD5DCE8"/>
      </x:right>
      <x:bottom style="thin">
        <x:color rgb="FFD5DCE8"/>
      </x:bottom>
    </x:border>
    <x:border>
      <x:left style="thin">
        <x:color rgb="FFD5DCE8"/>
      </x:left>
      <x:right style="thin">
        <x:color rgb="FFD5DCE8"/>
      </x:right>
      <x:bottom style="thin">
        <x:color rgb="FFD5DCE8"/>
      </x:bottom>
    </x:border>
    <x:border>
      <x:right style="thin">
        <x:color rgb="FFD5DCE8"/>
      </x:right>
      <x:top style="thin">
        <x:color rgb="FFD5DCE8"/>
      </x:top>
      <x:bottom style="thin">
        <x:color rgb="FFD5DCE8"/>
      </x:bottom>
    </x:border>
    <x:border>
      <x:left style="thin">
        <x:color rgb="FFD5DCE8"/>
      </x:left>
      <x:right style="thin">
        <x:color rgb="FFD5DCE8"/>
      </x:right>
      <x:top style="thin">
        <x:color rgb="FFD5DCE8"/>
      </x:top>
      <x:bottom style="thin">
        <x:color rgb="FFD5DCE8"/>
      </x:bottom>
    </x:border>
    <x:border>
      <x:left style="thin">
        <x:color rgb="FFD5DCE8"/>
      </x:left>
      <x:top style="thin">
        <x:color rgb="FFD5DCE8"/>
      </x:top>
      <x:bottom style="thin">
        <x:color rgb="FFD5DCE8"/>
      </x:bottom>
    </x:border>
    <x:border>
      <x:left style="thin">
        <x:color rgb="FFD5DCE8"/>
      </x:left>
      <x:right style="thin">
        <x:color rgb="FFD5DCE8"/>
      </x:right>
      <x:top style="thin">
        <x:color rgb="FFD5DCE8"/>
      </x:top>
    </x:border>
    <x:border>
      <x:left style="thin">
        <x:color rgb="FFD5DCE8"/>
      </x:left>
      <x:right style="thin">
        <x:color rgb="FFD5DCE8"/>
      </x:right>
    </x:border>
    <x:border>
      <x:top style="thin">
        <x:color rgb="FFD5DCE8"/>
      </x:top>
      <x:bottom style="thin">
        <x:color rgb="FFD5DCE8"/>
      </x:bottom>
    </x:border>
  </x:borders>
  <x:cellStyleXfs count="1">
    <x:xf numFmtId="0" fontId="0" fillId="0" borderId="0"/>
  </x:cellStyleXfs>
  <x:cellXfs count="1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6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6" fillId="5" borderId="5" xfId="0" applyNumberFormat="1" applyFont="1" applyFill="1" applyBorder="1"/>
    <x:xf numFmtId="0" fontId="6" fillId="5" borderId="14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13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9" xfId="0" applyNumberFormat="1" applyFont="1" applyFill="1" applyBorder="1"/>
    <x:xf numFmtId="200" fontId="0" fillId="0" borderId="11" xfId="0" applyNumberFormat="1" applyFont="1" applyFill="1" applyBorder="1"/>
    <x:xf numFmtId="200" fontId="0" fillId="0" borderId="13" xfId="0" applyNumberFormat="1" applyFont="1" applyFill="1" applyBorder="1"/>
    <x:xf numFmtId="0" fontId="0" fillId="3" borderId="9" xfId="0" applyNumberFormat="1" applyFont="1" applyFill="1" applyBorder="1"/>
    <x:xf numFmtId="0" fontId="0" fillId="3" borderId="11" xfId="0" applyNumberFormat="1" applyFont="1" applyFill="1" applyBorder="1"/>
    <x:xf numFmtId="0" fontId="0" fillId="3" borderId="13" xfId="0" applyNumberFormat="1" applyFont="1" applyFill="1" applyBorder="1"/>
    <x:xf numFmtId="201" fontId="0" fillId="0" borderId="11" xfId="0" applyNumberFormat="1" applyFont="1" applyFill="1" applyBorder="1"/>
    <x:xf numFmtId="201" fontId="0" fillId="3" borderId="11" xfId="0" applyNumberFormat="1" applyFont="1" applyFill="1" applyBorder="1"/>
    <x:xf numFmtId="0" fontId="7" fillId="2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13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3" borderId="1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3" borderId="13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7" xfId="0" applyNumberFormat="1" applyFont="1" applyFill="1" applyBorder="1"/>
    <x:xf numFmtId="0" fontId="8" fillId="0" borderId="15" xfId="0" applyNumberFormat="1" applyFont="1" applyFill="1" applyBorder="1"/>
    <x:xf numFmtId="0" fontId="8" fillId="0" borderId="2" xfId="0" applyNumberFormat="1" applyFont="1" applyFill="1" applyBorder="1"/>
    <x:xf numFmtId="0" fontId="8" fillId="0" borderId="7" xfId="0" applyNumberFormat="1" applyFont="1" applyFill="1" applyBorder="1" applyAlignment="1">
      <x:alignment vertical="top"/>
    </x:xf>
    <x:xf numFmtId="0" fontId="8" fillId="0" borderId="15" xfId="0" applyNumberFormat="1" applyFont="1" applyFill="1" applyBorder="1" applyAlignment="1">
      <x:alignment vertical="top"/>
    </x:xf>
    <x:xf numFmtId="0" fontId="8" fillId="0" borderId="2" xfId="0" applyNumberFormat="1" applyFont="1" applyFill="1" applyBorder="1" applyAlignment="1">
      <x:alignment vertical="top"/>
    </x:xf>
    <x:xf numFmtId="202" fontId="8" fillId="0" borderId="7" xfId="0" applyNumberFormat="1" applyFont="1" applyFill="1" applyBorder="1" applyAlignment="1">
      <x:alignment vertical="top"/>
    </x:xf>
    <x:xf numFmtId="202" fontId="8" fillId="0" borderId="15" xfId="0" applyNumberFormat="1" applyFont="1" applyFill="1" applyBorder="1" applyAlignment="1">
      <x:alignment vertical="top"/>
    </x:xf>
    <x:xf numFmtId="202" fontId="8" fillId="0" borderId="2" xfId="0" applyNumberFormat="1" applyFont="1" applyFill="1" applyBorder="1" applyAlignment="1">
      <x:alignment vertical="top"/>
    </x:xf>
    <x:xf numFmtId="203" fontId="8" fillId="0" borderId="7" xfId="0" applyNumberFormat="1" applyFont="1" applyFill="1" applyBorder="1" applyAlignment="1">
      <x:alignment vertical="top"/>
    </x:xf>
    <x:xf numFmtId="203" fontId="8" fillId="0" borderId="15" xfId="0" applyNumberFormat="1" applyFont="1" applyFill="1" applyBorder="1" applyAlignment="1">
      <x:alignment vertical="top"/>
    </x:xf>
    <x:xf numFmtId="203" fontId="8" fillId="0" borderId="2" xfId="0" applyNumberFormat="1" applyFont="1" applyFill="1" applyBorder="1" applyAlignment="1">
      <x:alignment vertical="top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7" borderId="7" xfId="0" applyNumberFormat="1" applyFont="1" applyFill="1" applyBorder="1" applyAlignment="1">
      <x:alignment vertical="top"/>
    </x:xf>
    <x:xf numFmtId="0" fontId="8" fillId="7" borderId="15" xfId="0" applyNumberFormat="1" applyFont="1" applyFill="1" applyBorder="1" applyAlignment="1">
      <x:alignment vertical="top"/>
    </x:xf>
    <x:xf numFmtId="0" fontId="8" fillId="7" borderId="2" xfId="0" applyNumberFormat="1" applyFont="1" applyFill="1" applyBorder="1" applyAlignment="1">
      <x:alignment vertical="top"/>
    </x:xf>
    <x:xf numFmtId="0" fontId="8" fillId="0" borderId="7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vertical="top" wrapText="1"/>
    </x:xf>
    <x:xf numFmtId="0" fontId="8" fillId="7" borderId="15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top" wrapText="1"/>
    </x:xf>
    <x:xf numFmtId="204" fontId="8" fillId="7" borderId="7" xfId="0" applyNumberFormat="1" applyFont="1" applyFill="1" applyBorder="1" applyAlignment="1">
      <x:alignment vertical="top"/>
    </x:xf>
    <x:xf numFmtId="204" fontId="8" fillId="7" borderId="15" xfId="0" applyNumberFormat="1" applyFont="1" applyFill="1" applyBorder="1" applyAlignment="1">
      <x:alignment vertical="top"/>
    </x:xf>
    <x:xf numFmtId="204" fontId="8" fillId="7" borderId="2" xfId="0" applyNumberFormat="1" applyFont="1" applyFill="1" applyBorder="1" applyAlignment="1">
      <x:alignment vertical="top"/>
    </x:xf>
    <x:xf numFmtId="201" fontId="8" fillId="0" borderId="7" xfId="0" applyNumberFormat="1" applyFont="1" applyFill="1" applyBorder="1" applyAlignment="1">
      <x:alignment vertical="top"/>
    </x:xf>
    <x:xf numFmtId="201" fontId="8" fillId="0" borderId="15" xfId="0" applyNumberFormat="1" applyFont="1" applyFill="1" applyBorder="1" applyAlignment="1">
      <x:alignment vertical="top"/>
    </x:xf>
    <x:xf numFmtId="201" fontId="8" fillId="0" borderId="2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DF3E8"/>
        </x:patternFill>
      </x:fill>
    </x:dxf>
    <x:dxf>
      <x:font>
        <x:color rgb="FF991B1B"/>
      </x:font>
      <x:fill>
        <x:patternFill patternType="solid">
          <x:bgColor rgb="FFFBE3E3"/>
        </x:patternFill>
      </x:fill>
    </x:dxf>
    <x:dxf>
      <x:font>
        <x:b/>
        <x:color rgb="FF166534"/>
      </x:font>
      <x:fill>
        <x:patternFill patternType="solid">
          <x:bgColor rgb="FFDDF3E8"/>
        </x:patternFill>
      </x:fill>
    </x:dxf>
    <x:dxf>
      <x:font>
        <x:b/>
        <x:color rgb="FF1A5CAD"/>
      </x:font>
      <x:fill>
        <x:patternFill patternType="solid">
          <x:bgColor rgb="FFF0F4FB"/>
        </x:patternFill>
      </x:fill>
    </x:dxf>
    <x:dxf>
      <x:font>
        <x:b/>
        <x:color rgb="FF92400E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add8f3e98499c" /><Relationship Type="http://schemas.openxmlformats.org/officeDocument/2006/relationships/theme" Target="/xl/theme/theme1.xml" Id="R40c8e42719c14db1" /><Relationship Type="http://schemas.openxmlformats.org/officeDocument/2006/relationships/sharedStrings" Target="/xl/sharedStrings.xml" Id="Ra65fe1b230f7420b" /><Relationship Type="http://schemas.openxmlformats.org/officeDocument/2006/relationships/worksheet" Target="/xl/worksheets/sheet1.xml" Id="Rd13529b16a0a4b5c" /><Relationship Type="http://schemas.openxmlformats.org/officeDocument/2006/relationships/worksheet" Target="/xl/worksheets/sheet2.xml" Id="Rfecb82c234fc4a5d" /><Relationship Type="http://schemas.openxmlformats.org/officeDocument/2006/relationships/worksheet" Target="/xl/worksheets/sheet3.xml" Id="R7e29ddec11f54915" /><Relationship Type="http://schemas.openxmlformats.org/officeDocument/2006/relationships/worksheet" Target="/xl/worksheets/sheet4.xml" Id="R195215083a504b46" /><Relationship Type="http://schemas.microsoft.com/office/2017/10/relationships/person" Target="/xl/persons/person.xml" Id="R17265abbd8d74859" /></Relationships>
</file>

<file path=xl/persons/person.xml><?xml version="1.0" encoding="utf-8"?>
<xltc:personList xmlns:xltc="http://schemas.microsoft.com/office/spreadsheetml/2018/threadedcomments">
  <xltc:person displayName="Nathan Sudmeier" id="{FE627137-276A-4100-BD20-831B5049413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9" hidden="0" customWidth="1"/>
    <x:col min="4" max="4" width="22" hidden="0" customWidth="1"/>
    <x:col min="5" max="5" width="18" hidden="0" customWidth="1"/>
    <x:col min="6" max="6" width="24" hidden="0" customWidth="1"/>
    <x:col min="7" max="7" width="16" hidden="0" customWidth="1"/>
    <x:col min="8" max="8" width="32" hidden="0" customWidth="1"/>
  </x:cols>
  <x:sheetData>
    <x:row r="1" ht="26" customHeight="1">
      <x:c r="A1" s="3" t="str">
        <x:v>Setpiece LinkedIn-contentplanning</x:v>
      </x:c>
      <x:c r="B1" s="3"/>
      <x:c r="C1" s="3"/>
      <x:c r="D1" s="3"/>
      <x:c r="E1" s="3"/>
      <x:c r="F1" s="3"/>
      <x:c r="G1" s="3"/>
      <x:c r="H1" s="3"/>
    </x:row>
    <x:row r="2" ht="26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6" t="str">
        <x:v>Acht weken van positionering naar bewijs en gekwalificeerde gesprekken | 20 juli tot en met 11 september 2026</x:v>
      </x:c>
      <x:c r="B3" s="6"/>
      <x:c r="C3" s="6"/>
      <x:c r="D3" s="6"/>
      <x:c r="E3" s="6"/>
      <x:c r="F3" s="6"/>
      <x:c r="G3" s="6"/>
      <x:c r="H3" s="6"/>
    </x:row>
    <x:row r="4">
      <x:c r="A4" s="94"/>
      <x:c r="B4" s="94"/>
      <x:c r="C4" s="94"/>
      <x:c r="D4" s="94"/>
      <x:c r="E4" s="94"/>
      <x:c r="F4" s="94"/>
      <x:c r="G4" s="94"/>
      <x:c r="H4" s="94"/>
    </x:row>
    <x:row r="5">
      <x:c r="A5" s="95" t="str">
        <x:v>Strategische keuze</x:v>
      </x:c>
      <x:c r="B5" s="95"/>
      <x:c r="C5" s="95"/>
      <x:c r="D5" s="95"/>
      <x:c r="E5" s="94"/>
      <x:c r="F5" s="96" t="str">
        <x:v>Vast ritme</x:v>
      </x:c>
      <x:c r="G5" s="96"/>
      <x:c r="H5" s="96"/>
    </x:row>
    <x:row r="6" ht="30" customHeight="1">
      <x:c r="A6" s="97" t="str">
        <x:v>Nathan is het bereik- en gesprekskanaal. De Setpiece-pagina is het bewijsarchief voor cases, methodiek en concrete diensten. Elk weekthema krijgt daarom één persoonlijke invalshoek en één zakelijke verdieping, zonder dezelfde tekst te kopiëren.</x:v>
      </x:c>
      <x:c r="B6" s="98"/>
      <x:c r="C6" s="98"/>
      <x:c r="D6" s="99"/>
      <x:c r="E6" s="94"/>
      <x:c r="F6" s="100" t="str">
        <x:v>Dinsdag 08:45</x:v>
      </x:c>
      <x:c r="G6" s="101" t="str">
        <x:v>Nathan</x:v>
      </x:c>
      <x:c r="H6" s="102" t="str">
        <x:v>Standpunt, ervaring of gesprek</x:v>
      </x:c>
    </x:row>
    <x:row r="7" ht="30" customHeight="1">
      <x:c r="A7" s="103"/>
      <x:c r="B7" s="104"/>
      <x:c r="C7" s="104"/>
      <x:c r="D7" s="105"/>
      <x:c r="E7" s="94"/>
      <x:c r="F7" s="106" t="str">
        <x:v>Donderdag 12:15</x:v>
      </x:c>
      <x:c r="G7" s="107" t="str">
        <x:v>Setpiece</x:v>
      </x:c>
      <x:c r="H7" s="108" t="str">
        <x:v>Case, checklist, methodiek of aanbod</x:v>
      </x:c>
    </x:row>
    <x:row r="8" ht="30" customHeight="1">
      <x:c r="A8" s="103"/>
      <x:c r="B8" s="104"/>
      <x:c r="C8" s="104"/>
      <x:c r="D8" s="105"/>
      <x:c r="E8" s="94"/>
      <x:c r="F8" s="106" t="str">
        <x:v>Donderdag</x:v>
      </x:c>
      <x:c r="G8" s="107" t="str">
        <x:v>Nathan</x:v>
      </x:c>
      <x:c r="H8" s="108" t="str">
        <x:v>Inhoudelijke reactie met extra context</x:v>
      </x:c>
    </x:row>
    <x:row r="9" ht="30" customHeight="1">
      <x:c r="A9" s="109"/>
      <x:c r="B9" s="110"/>
      <x:c r="C9" s="110"/>
      <x:c r="D9" s="111"/>
      <x:c r="E9" s="94"/>
      <x:c r="F9" s="112" t="str">
        <x:v>Vrijdag</x:v>
      </x:c>
      <x:c r="G9" s="113" t="str">
        <x:v>20 minuten</x:v>
      </x:c>
      <x:c r="H9" s="114" t="str">
        <x:v>Analytics en kwalitatieve signalen noteren</x:v>
      </x:c>
    </x:row>
    <x:row r="10">
      <x:c r="A10" s="94"/>
      <x:c r="B10" s="94"/>
      <x:c r="C10" s="94"/>
      <x:c r="D10" s="94"/>
      <x:c r="E10" s="94"/>
      <x:c r="F10" s="94"/>
      <x:c r="G10" s="94"/>
      <x:c r="H10" s="94"/>
    </x:row>
    <x:row r="11">
      <x:c r="A11" s="94"/>
      <x:c r="B11" s="94"/>
      <x:c r="C11" s="94"/>
      <x:c r="D11" s="94"/>
      <x:c r="E11" s="94"/>
      <x:c r="F11" s="94"/>
      <x:c r="G11" s="94"/>
      <x:c r="H11" s="94"/>
    </x:row>
    <x:row r="12">
      <x:c r="A12" s="65" t="str">
        <x:v>Kanaal</x:v>
      </x:c>
      <x:c r="B12" s="66" t="str">
        <x:v>Rol</x:v>
      </x:c>
      <x:c r="C12" s="66" t="str">
        <x:v>Primaire formats</x:v>
      </x:c>
      <x:c r="D12" s="67" t="str">
        <x:v>Hoofd-CTA</x:v>
      </x:c>
      <x:c r="E12" s="94"/>
      <x:c r="F12" s="65" t="str">
        <x:v>Pijler</x:v>
      </x:c>
      <x:c r="G12" s="66" t="str">
        <x:v>Aandeel</x:v>
      </x:c>
      <x:c r="H12" s="67" t="str">
        <x:v>Functie</x:v>
      </x:c>
    </x:row>
    <x:row r="13">
      <x:c r="A13" s="115" t="str">
        <x:v>Nathan</x:v>
      </x:c>
      <x:c r="B13" s="116" t="str">
        <x:v>Bereik, mening en gesprek</x:v>
      </x:c>
      <x:c r="C13" s="116" t="str">
        <x:v>Tekst, persoonlijke foto, reflectie</x:v>
      </x:c>
      <x:c r="D13" s="117" t="str">
        <x:v>Gerichte vraag of direct bericht</x:v>
      </x:c>
      <x:c r="E13" s="94"/>
      <x:c r="F13" s="118" t="str">
        <x:v>Standpunt</x:v>
      </x:c>
      <x:c r="G13" s="119" t="n">
        <x:v>0.25</x:v>
      </x:c>
      <x:c r="H13" s="120" t="str">
        <x:v>Onderscheid en herkenning</x:v>
      </x:c>
    </x:row>
    <x:row r="14">
      <x:c r="A14" s="121" t="str">
        <x:v>Setpiece</x:v>
      </x:c>
      <x:c r="B14" s="122" t="str">
        <x:v>Bewijs, methodiek en conversie</x:v>
      </x:c>
      <x:c r="C14" s="122" t="str">
        <x:v>Document, checklist, case en aanbodkaart</x:v>
      </x:c>
      <x:c r="D14" s="123" t="str">
        <x:v>Case bekijken, gesprek of sessie plannen</x:v>
      </x:c>
      <x:c r="E14" s="94"/>
      <x:c r="F14" s="124" t="str">
        <x:v>Bewijs</x:v>
      </x:c>
      <x:c r="G14" s="125" t="n">
        <x:v>0.25</x:v>
      </x:c>
      <x:c r="H14" s="126" t="str">
        <x:v>Vertrouwen en overweging</x:v>
      </x:c>
    </x:row>
    <x:row r="15">
      <x:c r="A15" s="94"/>
      <x:c r="B15" s="94"/>
      <x:c r="C15" s="94"/>
      <x:c r="D15" s="94"/>
      <x:c r="E15" s="94"/>
      <x:c r="F15" s="124" t="str">
        <x:v>Praktische waarde</x:v>
      </x:c>
      <x:c r="G15" s="125" t="n">
        <x:v>0.3</x:v>
      </x:c>
      <x:c r="H15" s="126" t="str">
        <x:v>Opslaan en delen</x:v>
      </x:c>
    </x:row>
    <x:row r="16">
      <x:c r="A16" s="94"/>
      <x:c r="B16" s="94"/>
      <x:c r="C16" s="94"/>
      <x:c r="D16" s="94"/>
      <x:c r="E16" s="94"/>
      <x:c r="F16" s="124" t="str">
        <x:v>Werkwijze en mens</x:v>
      </x:c>
      <x:c r="G16" s="125" t="n">
        <x:v>0.1</x:v>
      </x:c>
      <x:c r="H16" s="126" t="str">
        <x:v>Persoonlijk vertrouwen</x:v>
      </x:c>
    </x:row>
    <x:row r="17">
      <x:c r="A17" s="94"/>
      <x:c r="B17" s="94"/>
      <x:c r="C17" s="94"/>
      <x:c r="D17" s="94"/>
      <x:c r="E17" s="94"/>
      <x:c r="F17" s="127" t="str">
        <x:v>Aanbod</x:v>
      </x:c>
      <x:c r="G17" s="128" t="n">
        <x:v>0.1</x:v>
      </x:c>
      <x:c r="H17" s="129" t="str">
        <x:v>Conversie</x:v>
      </x:c>
    </x:row>
    <x:row r="18">
      <x:c r="A18" s="65" t="str">
        <x:v>KPI</x:v>
      </x:c>
      <x:c r="B18" s="66" t="str">
        <x:v>Startpunt</x:v>
      </x:c>
      <x:c r="C18" s="66" t="str">
        <x:v>Doel na 8 weken</x:v>
      </x:c>
      <x:c r="D18" s="66" t="str">
        <x:v>Werkelijk</x:v>
      </x:c>
      <x:c r="E18" s="67" t="str">
        <x:v>Status</x:v>
      </x:c>
      <x:c r="F18" s="94"/>
      <x:c r="G18" s="94"/>
      <x:c r="H18" s="94"/>
    </x:row>
    <x:row r="19">
      <x:c r="A19" s="118" t="str">
        <x:v>Totaal gepubliceerde posts</x:v>
      </x:c>
      <x:c r="B19" s="130" t="n">
        <x:v>0</x:v>
      </x:c>
      <x:c r="C19" s="130" t="n">
        <x:v>16</x:v>
      </x:c>
      <x:c r="D19" s="131" t="n">
        <x:f>COUNTIF('Contentkalender'!$M$5:$M$20,"Gepubliceerd")</x:f>
        <x:v>0</x:v>
      </x:c>
      <x:c r="E19" s="120" t="str">
        <x:f>IF(D19&gt;=C19,"Op koers","Nog te bouwen")</x:f>
        <x:v>Nog te bouwen</x:v>
      </x:c>
      <x:c r="F19" s="94"/>
      <x:c r="G19" s="94"/>
      <x:c r="H19" s="94"/>
    </x:row>
    <x:row r="20">
      <x:c r="A20" s="124" t="str">
        <x:v>Setpiece-paginaposts</x:v>
      </x:c>
      <x:c r="B20" s="132" t="n">
        <x:v>0</x:v>
      </x:c>
      <x:c r="C20" s="132" t="n">
        <x:v>8</x:v>
      </x:c>
      <x:c r="D20" s="133" t="n">
        <x:f>COUNTIFS('Contentkalender'!$E$5:$E$20,"Setpiece",'Contentkalender'!$M$5:$M$20,"Gepubliceerd")</x:f>
        <x:v>0</x:v>
      </x:c>
      <x:c r="E20" s="126" t="str">
        <x:f>IF(D20&gt;=C20,"Op koers","Nog te bouwen")</x:f>
        <x:v>Nog te bouwen</x:v>
      </x:c>
      <x:c r="F20" s="94"/>
      <x:c r="G20" s="94"/>
      <x:c r="H20" s="94"/>
    </x:row>
    <x:row r="21">
      <x:c r="A21" s="124" t="str">
        <x:v>Relevante paginavolgers</x:v>
      </x:c>
      <x:c r="B21" s="132" t="n">
        <x:v>4</x:v>
      </x:c>
      <x:c r="C21" s="132" t="n">
        <x:v>20</x:v>
      </x:c>
      <x:c r="D21" s="133" t="n">
        <x:f>B21+SUM('Resultaten'!$J$5:$J$20)</x:f>
        <x:v>4</x:v>
      </x:c>
      <x:c r="E21" s="126" t="str">
        <x:f>IF(D21&gt;=C21,"Op koers","Nog te bouwen")</x:f>
        <x:v>Nog te bouwen</x:v>
      </x:c>
      <x:c r="F21" s="94"/>
      <x:c r="G21" s="94"/>
      <x:c r="H21" s="94"/>
    </x:row>
    <x:row r="22">
      <x:c r="A22" s="124" t="str">
        <x:v>Cumulatieve impressies</x:v>
      </x:c>
      <x:c r="B22" s="132" t="n">
        <x:v>0</x:v>
      </x:c>
      <x:c r="C22" s="132" t="n">
        <x:v>2000</x:v>
      </x:c>
      <x:c r="D22" s="133" t="n">
        <x:f>SUM('Resultaten'!$E$5:$E$20)</x:f>
        <x:v>0</x:v>
      </x:c>
      <x:c r="E22" s="126" t="str">
        <x:f>IF(D22&gt;=C22,"Op koers","Nog te bouwen")</x:f>
        <x:v>Nog te bouwen</x:v>
      </x:c>
      <x:c r="F22" s="94"/>
      <x:c r="G22" s="94"/>
      <x:c r="H22" s="94"/>
    </x:row>
    <x:row r="23">
      <x:c r="A23" s="124" t="str">
        <x:v>Engagement rate</x:v>
      </x:c>
      <x:c r="B23" s="132" t="n">
        <x:v>0</x:v>
      </x:c>
      <x:c r="C23" s="134" t="n">
        <x:v>0.03</x:v>
      </x:c>
      <x:c r="D23" s="135" t="n">
        <x:f>IF(SUM('Resultaten'!$E$5:$E$20)=0,0,SUM('Resultaten'!$F$5:$I$20)/SUM('Resultaten'!$E$5:$E$20))</x:f>
        <x:v>0</x:v>
      </x:c>
      <x:c r="E23" s="126" t="str">
        <x:f>IF(D23&gt;=C23,"Op koers","Nog te bouwen")</x:f>
        <x:v>Nog te bouwen</x:v>
      </x:c>
      <x:c r="F23" s="94"/>
      <x:c r="G23" s="94"/>
      <x:c r="H23" s="94"/>
    </x:row>
    <x:row r="24">
      <x:c r="A24" s="127" t="str">
        <x:v>Gekwalificeerde gesprekken</x:v>
      </x:c>
      <x:c r="B24" s="136" t="n">
        <x:v>0</x:v>
      </x:c>
      <x:c r="C24" s="136" t="n">
        <x:v>2</x:v>
      </x:c>
      <x:c r="D24" s="137" t="n">
        <x:f>SUM('Resultaten'!$L$5:$L$20)</x:f>
        <x:v>0</x:v>
      </x:c>
      <x:c r="E24" s="129" t="str">
        <x:f>IF(D24&gt;=C24,"Op koers","Nog te bouwen")</x:f>
        <x:v>Nog te bouwen</x:v>
      </x:c>
      <x:c r="F24" s="94"/>
      <x:c r="G24" s="94"/>
      <x:c r="H24" s="94"/>
    </x:row>
    <x:row r="25">
      <x:c r="A25" s="94"/>
      <x:c r="B25" s="94"/>
      <x:c r="C25" s="94"/>
      <x:c r="D25" s="94"/>
      <x:c r="E25" s="94"/>
      <x:c r="F25" s="94"/>
      <x:c r="G25" s="94"/>
      <x:c r="H25" s="94"/>
    </x:row>
    <x:row r="26">
      <x:c r="A26" s="94"/>
      <x:c r="B26" s="94"/>
      <x:c r="C26" s="94"/>
      <x:c r="D26" s="94"/>
      <x:c r="E26" s="94"/>
      <x:c r="F26" s="94"/>
      <x:c r="G26" s="94"/>
      <x:c r="H26" s="94"/>
    </x:row>
    <x:row r="27">
      <x:c r="A27" s="138" t="str">
        <x:v>Bronnen en uitgangspunten</x:v>
      </x:c>
      <x:c r="B27" s="138"/>
      <x:c r="C27" s="138"/>
      <x:c r="D27" s="138"/>
      <x:c r="E27" s="138"/>
      <x:c r="F27" s="138"/>
      <x:c r="G27" s="138"/>
      <x:c r="H27" s="138"/>
    </x:row>
    <x:row r="28">
      <x:c r="A28" s="139" t="str">
        <x:v>LinkedIn Page posts FAQ | https://www.linkedin.com/help/linkedin/answer/a563045</x:v>
      </x:c>
      <x:c r="B28" s="139"/>
      <x:c r="C28" s="139"/>
      <x:c r="D28" s="139"/>
      <x:c r="E28" s="139"/>
      <x:c r="F28" s="139"/>
      <x:c r="G28" s="139"/>
      <x:c r="H28" s="139"/>
    </x:row>
    <x:row r="29">
      <x:c r="A29" s="139" t="str">
        <x:v>LinkedIn Page posting best practices | https://business.linkedin.com/content/dam/lem/business/en/advertise/linkedin-pages/lms-linkedin-page-posting-best-practices-one-pager.pdf</x:v>
      </x:c>
      <x:c r="B29" s="139"/>
      <x:c r="C29" s="139"/>
      <x:c r="D29" s="139"/>
      <x:c r="E29" s="139"/>
      <x:c r="F29" s="139"/>
      <x:c r="G29" s="139"/>
      <x:c r="H29" s="139"/>
    </x:row>
    <x:row r="30">
      <x:c r="A30" s="139" t="str">
        <x:v>Tijden zijn een testhypothese. Evalueer na vier weken op relevante reactie, profielbezoek, klikken en gesprekken, niet alleen op bereik.</x:v>
      </x:c>
      <x:c r="B30" s="139"/>
      <x:c r="C30" s="139"/>
      <x:c r="D30" s="139"/>
      <x:c r="E30" s="139"/>
      <x:c r="F30" s="139"/>
      <x:c r="G30" s="139"/>
      <x:c r="H30" s="139"/>
    </x:row>
  </x:sheetData>
  <x:mergeCells>
    <x:mergeCell ref="A1:H2"/>
    <x:mergeCell ref="A3:H3"/>
    <x:mergeCell ref="A5:D5"/>
    <x:mergeCell ref="A6:D9"/>
    <x:mergeCell ref="F5:H5"/>
    <x:mergeCell ref="A27:H27"/>
    <x:mergeCell ref="A28:H28"/>
    <x:mergeCell ref="A29:H29"/>
    <x:mergeCell ref="A30:H30"/>
  </x:mergeCells>
  <x:conditionalFormatting sqref="E19:E24">
    <x:cfRule type="containsText" dxfId="0" priority="1" operator="containsText" text="Op koers"/>
    <x:cfRule type="containsText" dxfId="1" priority="2" operator="containsText" text="Nog te bouwe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" hidden="0" customWidth="1"/>
    <x:col min="3" max="3" width="16" hidden="0" customWidth="1"/>
    <x:col min="4" max="4" width="9" hidden="0" customWidth="1"/>
    <x:col min="5" max="5" width="12" hidden="0" customWidth="1"/>
    <x:col min="6" max="6" width="18" hidden="0" customWidth="1"/>
    <x:col min="7" max="7" width="14" hidden="0" customWidth="1"/>
    <x:col min="8" max="8" width="32" hidden="0" customWidth="1"/>
    <x:col min="9" max="9" width="44" hidden="0" customWidth="1"/>
    <x:col min="10" max="10" width="22" hidden="0" customWidth="1"/>
    <x:col min="11" max="11" width="38" hidden="0" customWidth="1"/>
    <x:col min="12" max="12" width="34" hidden="0" customWidth="1"/>
    <x:col min="13" max="13" width="14" hidden="0" customWidth="1"/>
    <x:col min="14" max="14" width="12" hidden="0" customWidth="1"/>
    <x:col min="15" max="15" width="28" hidden="0" customWidth="1"/>
    <x:col min="16" max="16" width="30" hidden="0" customWidth="1"/>
  </x:cols>
  <x:sheetData>
    <x:row r="1">
      <x:c r="A1" s="3" t="str">
        <x:v>Contentkalender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6" t="str">
        <x:v>Status, eigenaar en publicatieresultaat blijven in één werkbare planning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>
      <x:c r="A4" s="65" t="str">
        <x:v>ID</x:v>
      </x:c>
      <x:c r="B4" s="66" t="str">
        <x:v>Week</x:v>
      </x:c>
      <x:c r="C4" s="66" t="str">
        <x:v>Datum</x:v>
      </x:c>
      <x:c r="D4" s="66" t="str">
        <x:v>Tijd</x:v>
      </x:c>
      <x:c r="E4" s="66" t="str">
        <x:v>Kanaal</x:v>
      </x:c>
      <x:c r="F4" s="66" t="str">
        <x:v>Pijler</x:v>
      </x:c>
      <x:c r="G4" s="66" t="str">
        <x:v>Doel</x:v>
      </x:c>
      <x:c r="H4" s="66" t="str">
        <x:v>Onderwerp</x:v>
      </x:c>
      <x:c r="I4" s="66" t="str">
        <x:v>Hook</x:v>
      </x:c>
      <x:c r="J4" s="66" t="str">
        <x:v>Format</x:v>
      </x:c>
      <x:c r="K4" s="66" t="str">
        <x:v>CTA</x:v>
      </x:c>
      <x:c r="L4" s="66" t="str">
        <x:v>Asset</x:v>
      </x:c>
      <x:c r="M4" s="66" t="str">
        <x:v>Status</x:v>
      </x:c>
      <x:c r="N4" s="66" t="str">
        <x:v>Eigenaar</x:v>
      </x:c>
      <x:c r="O4" s="66" t="str">
        <x:v>Publicatielink</x:v>
      </x:c>
      <x:c r="P4" s="67" t="str">
        <x:v>Notities</x:v>
      </x:c>
    </x:row>
    <x:row r="5" ht="64" customHeight="1">
      <x:c r="A5" s="144" t="str">
        <x:v>SP-01</x:v>
      </x:c>
      <x:c r="B5" s="144" t="n">
        <x:v>1</x:v>
      </x:c>
      <x:c r="C5" s="147" t="n">
        <x:v>46224.416666666664</x:v>
      </x:c>
      <x:c r="D5" s="150" t="n">
        <x:v>0.3645833333333333</x:v>
      </x:c>
      <x:c r="E5" s="144" t="str">
        <x:v>Nathan</x:v>
      </x:c>
      <x:c r="F5" s="144" t="str">
        <x:v>Standpunt</x:v>
      </x:c>
      <x:c r="G5" s="144" t="str">
        <x:v>Herkenning</x:v>
      </x:c>
      <x:c r="H5" s="153" t="str">
        <x:v>Sportclubs hebben niet nóg een tool nodig</x:v>
      </x:c>
      <x:c r="I5" s="153" t="str">
        <x:v>De meeste sportclubs hebben geen softwareprobleem. Ze hebben een samenhangprobleem.</x:v>
      </x:c>
      <x:c r="J5" s="153" t="str">
        <x:v>Tekst + persoonlijke foto</x:v>
      </x:c>
      <x:c r="K5" s="153" t="str">
        <x:v>Welke losse tool kost jullie club nu het meeste gedoe?</x:v>
      </x:c>
      <x:c r="L5" s="153" t="str">
        <x:v>Persoonlijke foto bij club of whiteboard</x:v>
      </x:c>
      <x:c r="M5" s="156" t="str">
        <x:v>Idee</x:v>
      </x:c>
      <x:c r="N5" s="156" t="str">
        <x:v>Nathan</x:v>
      </x:c>
      <x:c r="O5" s="156" t="str"/>
      <x:c r="P5" s="153" t="str">
        <x:v>Open het gesprek, niet meteen verkopen.</x:v>
      </x:c>
    </x:row>
    <x:row r="6" ht="64" customHeight="1">
      <x:c r="A6" s="145" t="str">
        <x:v>SP-02</x:v>
      </x:c>
      <x:c r="B6" s="145" t="n">
        <x:v>1</x:v>
      </x:c>
      <x:c r="C6" s="148" t="n">
        <x:v>46226.416666666664</x:v>
      </x:c>
      <x:c r="D6" s="151" t="n">
        <x:v>0.5104166666666666</x:v>
      </x:c>
      <x:c r="E6" s="145" t="str">
        <x:v>Setpiece</x:v>
      </x:c>
      <x:c r="F6" s="145" t="str">
        <x:v>Positionering</x:v>
      </x:c>
      <x:c r="G6" s="145" t="str">
        <x:v>Bekendheid</x:v>
      </x:c>
      <x:c r="H6" s="154" t="str">
        <x:v>Van losse middelen naar één digitale clubervaring</x:v>
      </x:c>
      <x:c r="I6" s="154" t="str">
        <x:v>Website, app, planning en communicatie voelen voor leden vaak als vier verschillende clubs.</x:v>
      </x:c>
      <x:c r="J6" s="154" t="str">
        <x:v>Document, 5 slides</x:v>
      </x:c>
      <x:c r="K6" s="154" t="str">
        <x:v>Waar loopt jullie digitale clubervaring het vaakst vast?</x:v>
      </x:c>
      <x:c r="L6" s="154" t="str">
        <x:v>Branded carousel: probleem, gevolg, principe, aanpak, vraag</x:v>
      </x:c>
      <x:c r="M6" s="157" t="str">
        <x:v>Idee</x:v>
      </x:c>
      <x:c r="N6" s="157" t="str">
        <x:v>Nathan</x:v>
      </x:c>
      <x:c r="O6" s="157" t="str"/>
      <x:c r="P6" s="154" t="str">
        <x:v>Gebruik de nieuwe bannerboodschap als rode draad.</x:v>
      </x:c>
    </x:row>
    <x:row r="7" ht="64" customHeight="1">
      <x:c r="A7" s="145" t="str">
        <x:v>SP-03</x:v>
      </x:c>
      <x:c r="B7" s="145" t="n">
        <x:v>2</x:v>
      </x:c>
      <x:c r="C7" s="148" t="n">
        <x:v>46231.416666666664</x:v>
      </x:c>
      <x:c r="D7" s="151" t="n">
        <x:v>0.3645833333333333</x:v>
      </x:c>
      <x:c r="E7" s="145" t="str">
        <x:v>Nathan</x:v>
      </x:c>
      <x:c r="F7" s="145" t="str">
        <x:v>Bewijs</x:v>
      </x:c>
      <x:c r="G7" s="145" t="str">
        <x:v>Vertrouwen</x:v>
      </x:c>
      <x:c r="H7" s="154" t="str">
        <x:v>Waarom website en app dezelfde basis nodig hebben</x:v>
      </x:c>
      <x:c r="I7" s="154" t="str">
        <x:v>Een clubwebsite en clubapp apart bouwen lijkt flexibel. Tot dezelfde informatie op twee plekken uit elkaar gaat lopen.</x:v>
      </x:c>
      <x:c r="J7" s="154" t="str">
        <x:v>Tekst + screenshot</x:v>
      </x:c>
      <x:c r="K7" s="154" t="str">
        <x:v>Welke informatie voeren jullie nu dubbel in?</x:v>
      </x:c>
      <x:c r="L7" s="154" t="str">
        <x:v>Screenshot MV Artemis website en app naast elkaar</x:v>
      </x:c>
      <x:c r="M7" s="157" t="str">
        <x:v>Idee</x:v>
      </x:c>
      <x:c r="N7" s="157" t="str">
        <x:v>Nathan</x:v>
      </x:c>
      <x:c r="O7" s="157" t="str"/>
      <x:c r="P7" s="154" t="str">
        <x:v>Leg nadruk op gedeelde data en dagelijkse praktijk.</x:v>
      </x:c>
    </x:row>
    <x:row r="8" ht="64" customHeight="1">
      <x:c r="A8" s="145" t="str">
        <x:v>SP-04</x:v>
      </x:c>
      <x:c r="B8" s="145" t="n">
        <x:v>2</x:v>
      </x:c>
      <x:c r="C8" s="148" t="n">
        <x:v>46233.416666666664</x:v>
      </x:c>
      <x:c r="D8" s="151" t="n">
        <x:v>0.5104166666666666</x:v>
      </x:c>
      <x:c r="E8" s="145" t="str">
        <x:v>Setpiece</x:v>
      </x:c>
      <x:c r="F8" s="145" t="str">
        <x:v>Bewijs</x:v>
      </x:c>
      <x:c r="G8" s="145" t="str">
        <x:v>Overweging</x:v>
      </x:c>
      <x:c r="H8" s="154" t="str">
        <x:v>MV Artemis: van naam en merk tot clubsite en app</x:v>
      </x:c>
      <x:c r="I8" s="154" t="str">
        <x:v>Een identiteit is pas sterk als ze ook werkt op een gewone trainingsavond.</x:v>
      </x:c>
      <x:c r="J8" s="154" t="str">
        <x:v>Case-document, 6 slides</x:v>
      </x:c>
      <x:c r="K8" s="154" t="str">
        <x:v>Bekijk de volledige case op setpiece.nl/cases/mv-artemis</x:v>
      </x:c>
      <x:c r="L8" s="154" t="str">
        <x:v>Slides: uitdaging, positionering, merk, site, app, waarde</x:v>
      </x:c>
      <x:c r="M8" s="157" t="str">
        <x:v>Idee</x:v>
      </x:c>
      <x:c r="N8" s="157" t="str">
        <x:v>Nathan</x:v>
      </x:c>
      <x:c r="O8" s="157" t="str"/>
      <x:c r="P8" s="154" t="str">
        <x:v>Tag MV Artemis wanneer de club akkoord is.</x:v>
      </x:c>
    </x:row>
    <x:row r="9" ht="64" customHeight="1">
      <x:c r="A9" s="145" t="str">
        <x:v>SP-05</x:v>
      </x:c>
      <x:c r="B9" s="145" t="n">
        <x:v>3</x:v>
      </x:c>
      <x:c r="C9" s="148" t="n">
        <x:v>46238.416666666664</x:v>
      </x:c>
      <x:c r="D9" s="151" t="n">
        <x:v>0.3645833333333333</x:v>
      </x:c>
      <x:c r="E9" s="145" t="str">
        <x:v>Nathan</x:v>
      </x:c>
      <x:c r="F9" s="145" t="str">
        <x:v>Standpunt</x:v>
      </x:c>
      <x:c r="G9" s="145" t="str">
        <x:v>Herkenning</x:v>
      </x:c>
      <x:c r="H9" s="154" t="str">
        <x:v>ChatGPT gebruiken is nog geen AI-strategie</x:v>
      </x:c>
      <x:c r="I9" s="154" t="str">
        <x:v>De vraag is niet welke AI-tool een club moet gebruiken. De vraag is welk terugkerend probleem ermee verdwijnt.</x:v>
      </x:c>
      <x:c r="J9" s="154" t="str">
        <x:v>Tekstpost</x:v>
      </x:c>
      <x:c r="K9" s="154" t="str">
        <x:v>Welke taak zou AI bij jullie als eerste aantoonbaar moeten verbeteren?</x:v>
      </x:c>
      <x:c r="L9" s="154" t="str">
        <x:v>Geen asset, sterke tekstopening</x:v>
      </x:c>
      <x:c r="M9" s="157" t="str">
        <x:v>Idee</x:v>
      </x:c>
      <x:c r="N9" s="157" t="str">
        <x:v>Nathan</x:v>
      </x:c>
      <x:c r="O9" s="157" t="str"/>
      <x:c r="P9" s="154" t="str">
        <x:v>Noem één voorbeeld en één grens.</x:v>
      </x:c>
    </x:row>
    <x:row r="10" ht="64" customHeight="1">
      <x:c r="A10" s="145" t="str">
        <x:v>SP-06</x:v>
      </x:c>
      <x:c r="B10" s="145" t="n">
        <x:v>3</x:v>
      </x:c>
      <x:c r="C10" s="148" t="n">
        <x:v>46240.416666666664</x:v>
      </x:c>
      <x:c r="D10" s="151" t="n">
        <x:v>0.5104166666666666</x:v>
      </x:c>
      <x:c r="E10" s="145" t="str">
        <x:v>Setpiece</x:v>
      </x:c>
      <x:c r="F10" s="145" t="str">
        <x:v>Praktische waarde</x:v>
      </x:c>
      <x:c r="G10" s="145" t="str">
        <x:v>Opslaan</x:v>
      </x:c>
      <x:c r="H10" s="154" t="str">
        <x:v>Vijf praktische AI-toepassingen voor sportclubs</x:v>
      </x:c>
      <x:c r="I10" s="154" t="str">
        <x:v>AI wordt pas bruikbaar als een club begint bij terugkerend werk, niet bij de tool.</x:v>
      </x:c>
      <x:c r="J10" s="154" t="str">
        <x:v>Checklist-document, 6 slides</x:v>
      </x:c>
      <x:c r="K10" s="154" t="str">
        <x:v>Bewaar dit voor het volgende bestuurs- of communicatieoverleg.</x:v>
      </x:c>
      <x:c r="L10" s="154" t="str">
        <x:v>Slides: ledenvragen, content, sponsors, samenvatten, kennisbank, randvoorwaarden</x:v>
      </x:c>
      <x:c r="M10" s="157" t="str">
        <x:v>Idee</x:v>
      </x:c>
      <x:c r="N10" s="157" t="str">
        <x:v>Nathan</x:v>
      </x:c>
      <x:c r="O10" s="157" t="str"/>
      <x:c r="P10" s="154" t="str">
        <x:v>Neem privacy, broncontrole en menselijke review mee.</x:v>
      </x:c>
    </x:row>
    <x:row r="11" ht="64" customHeight="1">
      <x:c r="A11" s="145" t="str">
        <x:v>SP-07</x:v>
      </x:c>
      <x:c r="B11" s="145" t="n">
        <x:v>4</x:v>
      </x:c>
      <x:c r="C11" s="148" t="n">
        <x:v>46245.416666666664</x:v>
      </x:c>
      <x:c r="D11" s="151" t="n">
        <x:v>0.3645833333333333</x:v>
      </x:c>
      <x:c r="E11" s="145" t="str">
        <x:v>Nathan</x:v>
      </x:c>
      <x:c r="F11" s="145" t="str">
        <x:v>Standpunt</x:v>
      </x:c>
      <x:c r="G11" s="145" t="str">
        <x:v>Herkenning</x:v>
      </x:c>
      <x:c r="H11" s="154" t="str">
        <x:v>Een clubidentiteit is geen logo</x:v>
      </x:c>
      <x:c r="I11" s="154" t="str">
        <x:v>Als bestuur, trainer en sponsor allemaal een ander verhaal vertellen, gaat een nieuw logo dat niet oplossen.</x:v>
      </x:c>
      <x:c r="J11" s="154" t="str">
        <x:v>Tekst + merkbeeld</x:v>
      </x:c>
      <x:c r="K11" s="154" t="str">
        <x:v>Kan iedereen rond jullie club in één zin uitleggen waar de club voor staat?</x:v>
      </x:c>
      <x:c r="L11" s="154" t="str">
        <x:v>Foto of detail uit MV Artemis-identiteit</x:v>
      </x:c>
      <x:c r="M11" s="157" t="str">
        <x:v>Idee</x:v>
      </x:c>
      <x:c r="N11" s="157" t="str">
        <x:v>Nathan</x:v>
      </x:c>
      <x:c r="O11" s="157" t="str"/>
      <x:c r="P11" s="154" t="str">
        <x:v>Maak het verschil tussen beeld en betekenis concreet.</x:v>
      </x:c>
    </x:row>
    <x:row r="12" ht="64" customHeight="1">
      <x:c r="A12" s="145" t="str">
        <x:v>SP-08</x:v>
      </x:c>
      <x:c r="B12" s="145" t="n">
        <x:v>4</x:v>
      </x:c>
      <x:c r="C12" s="148" t="n">
        <x:v>46247.416666666664</x:v>
      </x:c>
      <x:c r="D12" s="151" t="n">
        <x:v>0.5104166666666666</x:v>
      </x:c>
      <x:c r="E12" s="145" t="str">
        <x:v>Setpiece</x:v>
      </x:c>
      <x:c r="F12" s="145" t="str">
        <x:v>Praktische waarde</x:v>
      </x:c>
      <x:c r="G12" s="145" t="str">
        <x:v>Opslaan</x:v>
      </x:c>
      <x:c r="H12" s="154" t="str">
        <x:v>Zes onderdelen van een bruikbare clubidentiteit</x:v>
      </x:c>
      <x:c r="I12" s="154" t="str">
        <x:v>Een identiteit moet richting geven aan keuzes, niet alleen mooi staan op een shirt.</x:v>
      </x:c>
      <x:c r="J12" s="154" t="str">
        <x:v>Checklist-document, 7 slides</x:v>
      </x:c>
      <x:c r="K12" s="154" t="str">
        <x:v>Gebruik deze zes punten als check in de volgende bestuursvergadering.</x:v>
      </x:c>
      <x:c r="L12" s="154" t="str">
        <x:v>Naam, positionering, kernwaarden, toon, visuele stijl, dagelijkse toepassing</x:v>
      </x:c>
      <x:c r="M12" s="157" t="str">
        <x:v>Idee</x:v>
      </x:c>
      <x:c r="N12" s="157" t="str">
        <x:v>Nathan</x:v>
      </x:c>
      <x:c r="O12" s="157" t="str"/>
      <x:c r="P12" s="154" t="str">
        <x:v>Gebaseerd op de MV Artemis-aanpak.</x:v>
      </x:c>
    </x:row>
    <x:row r="13" ht="64" customHeight="1">
      <x:c r="A13" s="145" t="str">
        <x:v>SP-09</x:v>
      </x:c>
      <x:c r="B13" s="145" t="n">
        <x:v>5</x:v>
      </x:c>
      <x:c r="C13" s="148" t="n">
        <x:v>46252.416666666664</x:v>
      </x:c>
      <x:c r="D13" s="151" t="n">
        <x:v>0.3645833333333333</x:v>
      </x:c>
      <x:c r="E13" s="145" t="str">
        <x:v>Nathan</x:v>
      </x:c>
      <x:c r="F13" s="145" t="str">
        <x:v>Standpunt</x:v>
      </x:c>
      <x:c r="G13" s="145" t="str">
        <x:v>Herkenning</x:v>
      </x:c>
      <x:c r="H13" s="154" t="str">
        <x:v>Clubmarketing loopt vast zonder eigenaarschap</x:v>
      </x:c>
      <x:c r="I13" s="154" t="str">
        <x:v>Een contentkalender lost weinig op als niemand de keuzes bewaakt en iedereen last minute iets toevoegt.</x:v>
      </x:c>
      <x:c r="J13" s="154" t="str">
        <x:v>Tekstpost</x:v>
      </x:c>
      <x:c r="K13" s="154" t="str">
        <x:v>Wie is bij jullie echt eigenaar van marketing en communicatie?</x:v>
      </x:c>
      <x:c r="L13" s="154" t="str">
        <x:v>Geen asset</x:v>
      </x:c>
      <x:c r="M13" s="157" t="str">
        <x:v>Idee</x:v>
      </x:c>
      <x:c r="N13" s="157" t="str">
        <x:v>Nathan</x:v>
      </x:c>
      <x:c r="O13" s="157" t="str"/>
      <x:c r="P13" s="154" t="str">
        <x:v>Benoem het verschil tussen uitvoeren en richting bewaken.</x:v>
      </x:c>
    </x:row>
    <x:row r="14" ht="64" customHeight="1">
      <x:c r="A14" s="145" t="str">
        <x:v>SP-10</x:v>
      </x:c>
      <x:c r="B14" s="145" t="n">
        <x:v>5</x:v>
      </x:c>
      <x:c r="C14" s="148" t="n">
        <x:v>46254.416666666664</x:v>
      </x:c>
      <x:c r="D14" s="151" t="n">
        <x:v>0.5104166666666666</x:v>
      </x:c>
      <x:c r="E14" s="145" t="str">
        <x:v>Setpiece</x:v>
      </x:c>
      <x:c r="F14" s="145" t="str">
        <x:v>Praktische waarde</x:v>
      </x:c>
      <x:c r="G14" s="145" t="str">
        <x:v>Opslaan</x:v>
      </x:c>
      <x:c r="H14" s="154" t="str">
        <x:v>Een werkbaar communicatieritme in vier stappen</x:v>
      </x:c>
      <x:c r="I14" s="154" t="str">
        <x:v>Goede clubcommunicatie begint niet bij vaker posten, maar bij een ritme dat vrijwilligers kunnen volhouden.</x:v>
      </x:c>
      <x:c r="J14" s="154" t="str">
        <x:v>Document, 5 slides</x:v>
      </x:c>
      <x:c r="K14" s="154" t="str">
        <x:v>Welke stap ontbreekt nu in jullie ritme?</x:v>
      </x:c>
      <x:c r="L14" s="154" t="str">
        <x:v>Doelen, thema's, eigenaar, weekritme, evaluatie</x:v>
      </x:c>
      <x:c r="M14" s="157" t="str">
        <x:v>Idee</x:v>
      </x:c>
      <x:c r="N14" s="157" t="str">
        <x:v>Nathan</x:v>
      </x:c>
      <x:c r="O14" s="157" t="str"/>
      <x:c r="P14" s="154" t="str">
        <x:v>Houd het geschikt voor een klein vrijwilligersteam.</x:v>
      </x:c>
    </x:row>
    <x:row r="15" ht="64" customHeight="1">
      <x:c r="A15" s="145" t="str">
        <x:v>SP-11</x:v>
      </x:c>
      <x:c r="B15" s="145" t="n">
        <x:v>6</x:v>
      </x:c>
      <x:c r="C15" s="148" t="n">
        <x:v>46259.416666666664</x:v>
      </x:c>
      <x:c r="D15" s="151" t="n">
        <x:v>0.3645833333333333</x:v>
      </x:c>
      <x:c r="E15" s="145" t="str">
        <x:v>Nathan</x:v>
      </x:c>
      <x:c r="F15" s="145" t="str">
        <x:v>Werkwijze</x:v>
      </x:c>
      <x:c r="G15" s="145" t="str">
        <x:v>Vertrouwen</x:v>
      </x:c>
      <x:c r="H15" s="154" t="str">
        <x:v>Wat een goede brainstorm aan het einde moet opleveren</x:v>
      </x:c>
      <x:c r="I15" s="154" t="str">
        <x:v>Een brainstorm is geen geslaagde sessie omdat er veel post-its hangen. Hij is geslaagd als de volgende keuze duidelijk is.</x:v>
      </x:c>
      <x:c r="J15" s="154" t="str">
        <x:v>Foto + tekst</x:v>
      </x:c>
      <x:c r="K15" s="154" t="str">
        <x:v>Heb je een vraagstuk dat blijft rondzingen? Stuur mij het woord brainstorm.</x:v>
      </x:c>
      <x:c r="L15" s="154" t="str">
        <x:v>Foto van werktafel, schetsen of digitaal bord</x:v>
      </x:c>
      <x:c r="M15" s="157" t="str">
        <x:v>Idee</x:v>
      </x:c>
      <x:c r="N15" s="157" t="str">
        <x:v>Nathan</x:v>
      </x:c>
      <x:c r="O15" s="157" t="str"/>
      <x:c r="P15" s="154" t="str">
        <x:v>Laat zien: vraag, keuzes, richting, eerstvolgende actie.</x:v>
      </x:c>
    </x:row>
    <x:row r="16" ht="64" customHeight="1">
      <x:c r="A16" s="145" t="str">
        <x:v>SP-12</x:v>
      </x:c>
      <x:c r="B16" s="145" t="n">
        <x:v>6</x:v>
      </x:c>
      <x:c r="C16" s="148" t="n">
        <x:v>46261.416666666664</x:v>
      </x:c>
      <x:c r="D16" s="151" t="n">
        <x:v>0.5104166666666666</x:v>
      </x:c>
      <x:c r="E16" s="145" t="str">
        <x:v>Setpiece</x:v>
      </x:c>
      <x:c r="F16" s="145" t="str">
        <x:v>Aanbod</x:v>
      </x:c>
      <x:c r="G16" s="145" t="str">
        <x:v>Conversie</x:v>
      </x:c>
      <x:c r="H16" s="154" t="str">
        <x:v>Van vast vraagstuk naar een helder spelplan</x:v>
      </x:c>
      <x:c r="I16" s="154" t="str">
        <x:v>Soms is geen groot traject nodig. Wel negentig minuten waarin het echte probleem boven tafel komt.</x:v>
      </x:c>
      <x:c r="J16" s="154" t="str">
        <x:v>Single image + korte tekst</x:v>
      </x:c>
      <x:c r="K16" s="154" t="str">
        <x:v>Plan een gerichte brainstormsessie via setpiece.nl.</x:v>
      </x:c>
      <x:c r="L16" s="154" t="str">
        <x:v>Branded aanbodkaart met probleem, sessie, uitkomst</x:v>
      </x:c>
      <x:c r="M16" s="157" t="str">
        <x:v>Idee</x:v>
      </x:c>
      <x:c r="N16" s="157" t="str">
        <x:v>Nathan</x:v>
      </x:c>
      <x:c r="O16" s="157" t="str"/>
      <x:c r="P16" s="154" t="str">
        <x:v>Bevestig duur en concrete output voordat deze live gaat.</x:v>
      </x:c>
    </x:row>
    <x:row r="17" ht="64" customHeight="1">
      <x:c r="A17" s="145" t="str">
        <x:v>SP-13</x:v>
      </x:c>
      <x:c r="B17" s="145" t="n">
        <x:v>7</x:v>
      </x:c>
      <x:c r="C17" s="148" t="n">
        <x:v>46266.416666666664</x:v>
      </x:c>
      <x:c r="D17" s="151" t="n">
        <x:v>0.3645833333333333</x:v>
      </x:c>
      <x:c r="E17" s="145" t="str">
        <x:v>Nathan</x:v>
      </x:c>
      <x:c r="F17" s="145" t="str">
        <x:v>Standpunt</x:v>
      </x:c>
      <x:c r="G17" s="145" t="str">
        <x:v>Overweging</x:v>
      </x:c>
      <x:c r="H17" s="154" t="str">
        <x:v>Wanneer tijdelijke marketingkracht slimmer is dan direct werven</x:v>
      </x:c>
      <x:c r="I17" s="154" t="str">
        <x:v>Niet ieder marketingprobleem vraagt meteen om een nieuwe vaste functie.</x:v>
      </x:c>
      <x:c r="J17" s="154" t="str">
        <x:v>Tekstpost</x:v>
      </x:c>
      <x:c r="K17" s="154" t="str">
        <x:v>Waar ontbreekt nu tijdelijk richting of uitvoeringskracht?</x:v>
      </x:c>
      <x:c r="L17" s="154" t="str">
        <x:v>Geen asset of rustige portretfoto</x:v>
      </x:c>
      <x:c r="M17" s="157" t="str">
        <x:v>Idee</x:v>
      </x:c>
      <x:c r="N17" s="157" t="str">
        <x:v>Nathan</x:v>
      </x:c>
      <x:c r="O17" s="157" t="str"/>
      <x:c r="P17" s="154" t="str">
        <x:v>Noem drie situaties waarin interim logisch is.</x:v>
      </x:c>
    </x:row>
    <x:row r="18" ht="64" customHeight="1">
      <x:c r="A18" s="145" t="str">
        <x:v>SP-14</x:v>
      </x:c>
      <x:c r="B18" s="145" t="n">
        <x:v>7</x:v>
      </x:c>
      <x:c r="C18" s="148" t="n">
        <x:v>46268.416666666664</x:v>
      </x:c>
      <x:c r="D18" s="151" t="n">
        <x:v>0.5104166666666666</x:v>
      </x:c>
      <x:c r="E18" s="145" t="str">
        <x:v>Setpiece</x:v>
      </x:c>
      <x:c r="F18" s="145" t="str">
        <x:v>Aanbod</x:v>
      </x:c>
      <x:c r="G18" s="145" t="str">
        <x:v>Conversie</x:v>
      </x:c>
      <x:c r="H18" s="154" t="str">
        <x:v>De eerste dertig dagen van interim marketing</x:v>
      </x:c>
      <x:c r="I18" s="154" t="str">
        <x:v>Interim marketing werkt alleen als er snel overzicht, keuzes en ritme komen.</x:v>
      </x:c>
      <x:c r="J18" s="154" t="str">
        <x:v>Document, 5 slides</x:v>
      </x:c>
      <x:c r="K18" s="154" t="str">
        <x:v>Bespreek een interim marketing- of communicatievraagstuk via een bericht.</x:v>
      </x:c>
      <x:c r="L18" s="154" t="str">
        <x:v>Week 1 luisteren, week 2 kiezen, week 3 uitvoeren, week 4 borgen</x:v>
      </x:c>
      <x:c r="M18" s="157" t="str">
        <x:v>Idee</x:v>
      </x:c>
      <x:c r="N18" s="157" t="str">
        <x:v>Nathan</x:v>
      </x:c>
      <x:c r="O18" s="157" t="str"/>
      <x:c r="P18" s="154" t="str">
        <x:v>Benadruk overdracht en samenwerking met het bestaande team.</x:v>
      </x:c>
    </x:row>
    <x:row r="19" ht="64" customHeight="1">
      <x:c r="A19" s="145" t="str">
        <x:v>SP-15</x:v>
      </x:c>
      <x:c r="B19" s="145" t="n">
        <x:v>8</x:v>
      </x:c>
      <x:c r="C19" s="148" t="n">
        <x:v>46273.416666666664</x:v>
      </x:c>
      <x:c r="D19" s="151" t="n">
        <x:v>0.3645833333333333</x:v>
      </x:c>
      <x:c r="E19" s="145" t="str">
        <x:v>Nathan</x:v>
      </x:c>
      <x:c r="F19" s="145" t="str">
        <x:v>Werkwijze</x:v>
      </x:c>
      <x:c r="G19" s="145" t="str">
        <x:v>Gesprek</x:v>
      </x:c>
      <x:c r="H19" s="154" t="str">
        <x:v>Wat acht weken consequent publiceren heeft geleerd</x:v>
      </x:c>
      <x:c r="I19" s="154" t="str">
        <x:v>Consistent posten is pas nuttig als je ook durft te stoppen met wat niets oplevert.</x:v>
      </x:c>
      <x:c r="J19" s="154" t="str">
        <x:v>Reflectie + eenvoudige data</x:v>
      </x:c>
      <x:c r="K19" s="154" t="str">
        <x:v>Welk onderwerp moet ik de komende maand verder uitwerken?</x:v>
      </x:c>
      <x:c r="L19" s="154" t="str">
        <x:v>Screenshot of eenvoudige tegel met drie lessen</x:v>
      </x:c>
      <x:c r="M19" s="157" t="str">
        <x:v>Idee</x:v>
      </x:c>
      <x:c r="N19" s="157" t="str">
        <x:v>Nathan</x:v>
      </x:c>
      <x:c r="O19" s="157" t="str"/>
      <x:c r="P19" s="154" t="str">
        <x:v>Pas de inhoud aan op de echte resultaten uit het werkboek.</x:v>
      </x:c>
    </x:row>
    <x:row r="20" ht="64" customHeight="1">
      <x:c r="A20" s="146" t="str">
        <x:v>SP-16</x:v>
      </x:c>
      <x:c r="B20" s="146" t="n">
        <x:v>8</x:v>
      </x:c>
      <x:c r="C20" s="149" t="n">
        <x:v>46275.416666666664</x:v>
      </x:c>
      <x:c r="D20" s="152" t="n">
        <x:v>0.5104166666666666</x:v>
      </x:c>
      <x:c r="E20" s="146" t="str">
        <x:v>Setpiece</x:v>
      </x:c>
      <x:c r="F20" s="146" t="str">
        <x:v>Aanbod</x:v>
      </x:c>
      <x:c r="G20" s="146" t="str">
        <x:v>Conversie</x:v>
      </x:c>
      <x:c r="H20" s="155" t="str">
        <x:v>Welk digitaal clubvraagstuk moet als eerste worden opgelost?</x:v>
      </x:c>
      <x:c r="I20" s="155" t="str">
        <x:v>Niet ieder vraagstuk vraagt om een nieuwe website, app of AI-oplossing. De eerste stap is scherp kiezen.</x:v>
      </x:c>
      <x:c r="J20" s="155" t="str">
        <x:v>Single image + tekst</x:v>
      </x:c>
      <x:c r="K20" s="155" t="str">
        <x:v>Stuur het grootste knelpunt. Setpiece geeft aan of brainstorm, interim inzet of een bouwtraject past.</x:v>
      </x:c>
      <x:c r="L20" s="155" t="str">
        <x:v>Keuzekaart met drie routes</x:v>
      </x:c>
      <x:c r="M20" s="158" t="str">
        <x:v>Idee</x:v>
      </x:c>
      <x:c r="N20" s="158" t="str">
        <x:v>Nathan</x:v>
      </x:c>
      <x:c r="O20" s="158" t="str"/>
      <x:c r="P20" s="155" t="str">
        <x:v>Eindig met één laagdrempelige vraag.</x:v>
      </x:c>
    </x:row>
  </x:sheetData>
  <x:mergeCells>
    <x:mergeCell ref="A1:P2"/>
    <x:mergeCell ref="A3:P3"/>
  </x:mergeCells>
  <x:conditionalFormatting sqref="M5:M20">
    <x:cfRule type="containsText" dxfId="2" priority="1" operator="containsText" text="Gepubliceerd"/>
    <x:cfRule type="containsText" dxfId="3" priority="2" operator="containsText" text="Ingepland"/>
    <x:cfRule type="containsText" dxfId="4" priority="3" operator="containsText" text="Review"/>
  </x:conditionalFormatting>
  <x:dataValidations count="2">
    <x:dataValidation type="list" sqref="M5:M20">
      <x:formula1>"Idee,Concept,Review,Ingepland,Gepubliceerd"</x:formula1>
    </x:dataValidation>
    <x:dataValidation type="list" sqref="E5:E20">
      <x:formula1>"Nathan,Setpiece"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" hidden="0" customWidth="1"/>
    <x:col min="3" max="3" width="18" hidden="0" customWidth="1"/>
    <x:col min="4" max="4" width="14" hidden="0" customWidth="1"/>
    <x:col min="5" max="5" width="30" hidden="0" customWidth="1"/>
    <x:col min="6" max="6" width="42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22" hidden="0" customWidth="1"/>
    <x:col min="12" max="12" width="38" hidden="0" customWidth="1"/>
    <x:col min="13" max="13" width="38" hidden="0" customWidth="1"/>
    <x:col min="14" max="14" width="28" hidden="0" customWidth="1"/>
  </x:cols>
  <x:sheetData>
    <x:row r="1">
      <x:c r="A1" s="3" t="str">
        <x:v>Postbriefs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6" t="str">
        <x:v>Elke rij bevat genoeg richting om zonder nieuwe brainstorm een sterk concept te schrijven of vorm te geven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65" t="str">
        <x:v>ID</x:v>
      </x:c>
      <x:c r="B4" s="66" t="str">
        <x:v>Kanaal</x:v>
      </x:c>
      <x:c r="C4" s="66" t="str">
        <x:v>Pijler</x:v>
      </x:c>
      <x:c r="D4" s="66" t="str">
        <x:v>Doel</x:v>
      </x:c>
      <x:c r="E4" s="66" t="str">
        <x:v>Onderwerp</x:v>
      </x:c>
      <x:c r="F4" s="66" t="str">
        <x:v>Hook</x:v>
      </x:c>
      <x:c r="G4" s="66" t="str">
        <x:v>Punt 1</x:v>
      </x:c>
      <x:c r="H4" s="66" t="str">
        <x:v>Punt 2</x:v>
      </x:c>
      <x:c r="I4" s="66" t="str">
        <x:v>Punt 3</x:v>
      </x:c>
      <x:c r="J4" s="66" t="str">
        <x:v>Bewijs / bron</x:v>
      </x:c>
      <x:c r="K4" s="66" t="str">
        <x:v>Format</x:v>
      </x:c>
      <x:c r="L4" s="66" t="str">
        <x:v>Visual concept</x:v>
      </x:c>
      <x:c r="M4" s="66" t="str">
        <x:v>CTA</x:v>
      </x:c>
      <x:c r="N4" s="67" t="str">
        <x:v>Reviewnotitie</x:v>
      </x:c>
    </x:row>
    <x:row r="5" ht="76" customHeight="1">
      <x:c r="A5" s="153" t="str">
        <x:v>SP-01</x:v>
      </x:c>
      <x:c r="B5" s="153" t="str">
        <x:v>Nathan</x:v>
      </x:c>
      <x:c r="C5" s="153" t="str">
        <x:v>Standpunt</x:v>
      </x:c>
      <x:c r="D5" s="153" t="str">
        <x:v>Herkenning</x:v>
      </x:c>
      <x:c r="E5" s="153" t="str">
        <x:v>Sportclubs hebben niet nóg een tool nodig</x:v>
      </x:c>
      <x:c r="F5" s="153" t="str">
        <x:v>De meeste sportclubs hebben geen softwareprobleem. Ze hebben een samenhangprobleem.</x:v>
      </x:c>
      <x:c r="G5" s="153" t="str">
        <x:v>Losse tools maken communicatie en beheer zwaarder.</x:v>
      </x:c>
      <x:c r="H5" s="153" t="str">
        <x:v>Het probleem zit meestal in samenhang en eigenaarschap.</x:v>
      </x:c>
      <x:c r="I5" s="153" t="str">
        <x:v>Begin bij de clubervaring, kies daarna pas technologie.</x:v>
      </x:c>
      <x:c r="J5" s="153" t="str">
        <x:v>Eigen Setpiece-methodiek</x:v>
      </x:c>
      <x:c r="K5" s="153" t="str">
        <x:v>Tekst + persoonlijke foto</x:v>
      </x:c>
      <x:c r="L5" s="153" t="str">
        <x:v>Persoonlijke foto bij club of whiteboard</x:v>
      </x:c>
      <x:c r="M5" s="153" t="str">
        <x:v>Welke losse tool kost jullie club nu het meeste gedoe?</x:v>
      </x:c>
      <x:c r="N5" s="162"/>
    </x:row>
    <x:row r="6" ht="76" customHeight="1">
      <x:c r="A6" s="154" t="str">
        <x:v>SP-02</x:v>
      </x:c>
      <x:c r="B6" s="154" t="str">
        <x:v>Setpiece</x:v>
      </x:c>
      <x:c r="C6" s="154" t="str">
        <x:v>Positionering</x:v>
      </x:c>
      <x:c r="D6" s="154" t="str">
        <x:v>Bekendheid</x:v>
      </x:c>
      <x:c r="E6" s="154" t="str">
        <x:v>Van losse middelen naar één digitale clubervaring</x:v>
      </x:c>
      <x:c r="F6" s="154" t="str">
        <x:v>Website, app, planning en communicatie voelen voor leden vaak als vier verschillende clubs.</x:v>
      </x:c>
      <x:c r="G6" s="154" t="str">
        <x:v>Website, app en communicatie horen hetzelfde verhaal te vertellen.</x:v>
      </x:c>
      <x:c r="H6" s="154" t="str">
        <x:v>Gedeelde data voorkomt dubbel werk en verschillen.</x:v>
      </x:c>
      <x:c r="I6" s="154" t="str">
        <x:v>Een digitale clubervaring wordt ontworpen vanuit leden, staf en bestuur.</x:v>
      </x:c>
      <x:c r="J6" s="154" t="str">
        <x:v>Eigen Setpiece-methodiek</x:v>
      </x:c>
      <x:c r="K6" s="154" t="str">
        <x:v>Document, 5 slides</x:v>
      </x:c>
      <x:c r="L6" s="154" t="str">
        <x:v>Branded carousel: probleem, gevolg, principe, aanpak, vraag</x:v>
      </x:c>
      <x:c r="M6" s="154" t="str">
        <x:v>Waar loopt jullie digitale clubervaring het vaakst vast?</x:v>
      </x:c>
      <x:c r="N6" s="163"/>
    </x:row>
    <x:row r="7" ht="76" customHeight="1">
      <x:c r="A7" s="154" t="str">
        <x:v>SP-03</x:v>
      </x:c>
      <x:c r="B7" s="154" t="str">
        <x:v>Nathan</x:v>
      </x:c>
      <x:c r="C7" s="154" t="str">
        <x:v>Bewijs</x:v>
      </x:c>
      <x:c r="D7" s="154" t="str">
        <x:v>Vertrouwen</x:v>
      </x:c>
      <x:c r="E7" s="154" t="str">
        <x:v>Waarom website en app dezelfde basis nodig hebben</x:v>
      </x:c>
      <x:c r="F7" s="154" t="str">
        <x:v>Een clubwebsite en clubapp apart bouwen lijkt flexibel. Tot dezelfde informatie op twee plekken uit elkaar gaat lopen.</x:v>
      </x:c>
      <x:c r="G7" s="154" t="str">
        <x:v>Dubbele invoer leidt tot fouten.</x:v>
      </x:c>
      <x:c r="H7" s="154" t="str">
        <x:v>Eén databasis maakt publicatie op meerdere plekken mogelijk.</x:v>
      </x:c>
      <x:c r="I7" s="154" t="str">
        <x:v>Technologie moet vrijwilligers en staf tijd teruggeven.</x:v>
      </x:c>
      <x:c r="J7" s="154" t="str">
        <x:v>https://setpiece.nl/cases/mv-artemis</x:v>
      </x:c>
      <x:c r="K7" s="154" t="str">
        <x:v>Tekst + screenshot</x:v>
      </x:c>
      <x:c r="L7" s="154" t="str">
        <x:v>Screenshot MV Artemis website en app naast elkaar</x:v>
      </x:c>
      <x:c r="M7" s="154" t="str">
        <x:v>Welke informatie voeren jullie nu dubbel in?</x:v>
      </x:c>
      <x:c r="N7" s="163"/>
    </x:row>
    <x:row r="8" ht="76" customHeight="1">
      <x:c r="A8" s="154" t="str">
        <x:v>SP-04</x:v>
      </x:c>
      <x:c r="B8" s="154" t="str">
        <x:v>Setpiece</x:v>
      </x:c>
      <x:c r="C8" s="154" t="str">
        <x:v>Bewijs</x:v>
      </x:c>
      <x:c r="D8" s="154" t="str">
        <x:v>Overweging</x:v>
      </x:c>
      <x:c r="E8" s="154" t="str">
        <x:v>MV Artemis: van naam en merk tot clubsite en app</x:v>
      </x:c>
      <x:c r="F8" s="154" t="str">
        <x:v>Een identiteit is pas sterk als ze ook werkt op een gewone trainingsavond.</x:v>
      </x:c>
      <x:c r="G8" s="154" t="str">
        <x:v>MV Artemis had een verhaal nodig dat bij de ambitie past.</x:v>
      </x:c>
      <x:c r="H8" s="154" t="str">
        <x:v>Naam, merk, website en app werden als één geheel ontwikkeld.</x:v>
      </x:c>
      <x:c r="I8" s="154" t="str">
        <x:v>De identiteit loopt door tot in de dagelijkse werking.</x:v>
      </x:c>
      <x:c r="J8" s="154" t="str">
        <x:v>https://setpiece.nl/cases/mv-artemis</x:v>
      </x:c>
      <x:c r="K8" s="154" t="str">
        <x:v>Case-document, 6 slides</x:v>
      </x:c>
      <x:c r="L8" s="154" t="str">
        <x:v>Slides: uitdaging, positionering, merk, site, app, waarde</x:v>
      </x:c>
      <x:c r="M8" s="154" t="str">
        <x:v>Bekijk de volledige case op setpiece.nl/cases/mv-artemis</x:v>
      </x:c>
      <x:c r="N8" s="163"/>
    </x:row>
    <x:row r="9" ht="76" customHeight="1">
      <x:c r="A9" s="154" t="str">
        <x:v>SP-05</x:v>
      </x:c>
      <x:c r="B9" s="154" t="str">
        <x:v>Nathan</x:v>
      </x:c>
      <x:c r="C9" s="154" t="str">
        <x:v>Standpunt</x:v>
      </x:c>
      <x:c r="D9" s="154" t="str">
        <x:v>Herkenning</x:v>
      </x:c>
      <x:c r="E9" s="154" t="str">
        <x:v>ChatGPT gebruiken is nog geen AI-strategie</x:v>
      </x:c>
      <x:c r="F9" s="154" t="str">
        <x:v>De vraag is niet welke AI-tool een club moet gebruiken. De vraag is welk terugkerend probleem ermee verdwijnt.</x:v>
      </x:c>
      <x:c r="G9" s="154" t="str">
        <x:v>AI begint bij een werkprobleem.</x:v>
      </x:c>
      <x:c r="H9" s="154" t="str">
        <x:v>Maak een eigenaar en succesmaat duidelijk.</x:v>
      </x:c>
      <x:c r="I9" s="154" t="str">
        <x:v>Gebruik AI waar controle en privacy zijn geregeld.</x:v>
      </x:c>
      <x:c r="J9" s="154" t="str">
        <x:v>https://setpiece.nl/cases/ai-strategie</x:v>
      </x:c>
      <x:c r="K9" s="154" t="str">
        <x:v>Tekstpost</x:v>
      </x:c>
      <x:c r="L9" s="154" t="str">
        <x:v>Geen asset, sterke tekstopening</x:v>
      </x:c>
      <x:c r="M9" s="154" t="str">
        <x:v>Welke taak zou AI bij jullie als eerste aantoonbaar moeten verbeteren?</x:v>
      </x:c>
      <x:c r="N9" s="163"/>
    </x:row>
    <x:row r="10" ht="76" customHeight="1">
      <x:c r="A10" s="154" t="str">
        <x:v>SP-06</x:v>
      </x:c>
      <x:c r="B10" s="154" t="str">
        <x:v>Setpiece</x:v>
      </x:c>
      <x:c r="C10" s="154" t="str">
        <x:v>Praktische waarde</x:v>
      </x:c>
      <x:c r="D10" s="154" t="str">
        <x:v>Opslaan</x:v>
      </x:c>
      <x:c r="E10" s="154" t="str">
        <x:v>Vijf praktische AI-toepassingen voor sportclubs</x:v>
      </x:c>
      <x:c r="F10" s="154" t="str">
        <x:v>AI wordt pas bruikbaar als een club begint bij terugkerend werk, niet bij de tool.</x:v>
      </x:c>
      <x:c r="G10" s="154" t="str">
        <x:v>Beantwoord terugkerende ledenvragen.</x:v>
      </x:c>
      <x:c r="H10" s="154" t="str">
        <x:v>Versnel conceptcontent en sponsorcommunicatie.</x:v>
      </x:c>
      <x:c r="I10" s="154" t="str">
        <x:v>Houd menselijke review en broncontrole verplicht.</x:v>
      </x:c>
      <x:c r="J10" s="154" t="str">
        <x:v>Eigen Setpiece-methodiek</x:v>
      </x:c>
      <x:c r="K10" s="154" t="str">
        <x:v>Checklist-document, 6 slides</x:v>
      </x:c>
      <x:c r="L10" s="154" t="str">
        <x:v>Slides: ledenvragen, content, sponsors, samenvatten, kennisbank, randvoorwaarden</x:v>
      </x:c>
      <x:c r="M10" s="154" t="str">
        <x:v>Bewaar dit voor het volgende bestuurs- of communicatieoverleg.</x:v>
      </x:c>
      <x:c r="N10" s="163"/>
    </x:row>
    <x:row r="11" ht="76" customHeight="1">
      <x:c r="A11" s="154" t="str">
        <x:v>SP-07</x:v>
      </x:c>
      <x:c r="B11" s="154" t="str">
        <x:v>Nathan</x:v>
      </x:c>
      <x:c r="C11" s="154" t="str">
        <x:v>Standpunt</x:v>
      </x:c>
      <x:c r="D11" s="154" t="str">
        <x:v>Herkenning</x:v>
      </x:c>
      <x:c r="E11" s="154" t="str">
        <x:v>Een clubidentiteit is geen logo</x:v>
      </x:c>
      <x:c r="F11" s="154" t="str">
        <x:v>Als bestuur, trainer en sponsor allemaal een ander verhaal vertellen, gaat een nieuw logo dat niet oplossen.</x:v>
      </x:c>
      <x:c r="G11" s="154" t="str">
        <x:v>Een logo is een herkenningsteken, geen positionering.</x:v>
      </x:c>
      <x:c r="H11" s="154" t="str">
        <x:v>Een gedeeld verhaal helpt bestuur, staf en sponsors.</x:v>
      </x:c>
      <x:c r="I11" s="154" t="str">
        <x:v>Identiteit bewijst zich in dagelijkse keuzes.</x:v>
      </x:c>
      <x:c r="J11" s="154" t="str">
        <x:v>https://setpiece.nl/cases/mv-artemis</x:v>
      </x:c>
      <x:c r="K11" s="154" t="str">
        <x:v>Tekst + merkbeeld</x:v>
      </x:c>
      <x:c r="L11" s="154" t="str">
        <x:v>Foto of detail uit MV Artemis-identiteit</x:v>
      </x:c>
      <x:c r="M11" s="154" t="str">
        <x:v>Kan iedereen rond jullie club in één zin uitleggen waar de club voor staat?</x:v>
      </x:c>
      <x:c r="N11" s="163"/>
    </x:row>
    <x:row r="12" ht="76" customHeight="1">
      <x:c r="A12" s="154" t="str">
        <x:v>SP-08</x:v>
      </x:c>
      <x:c r="B12" s="154" t="str">
        <x:v>Setpiece</x:v>
      </x:c>
      <x:c r="C12" s="154" t="str">
        <x:v>Praktische waarde</x:v>
      </x:c>
      <x:c r="D12" s="154" t="str">
        <x:v>Opslaan</x:v>
      </x:c>
      <x:c r="E12" s="154" t="str">
        <x:v>Zes onderdelen van een bruikbare clubidentiteit</x:v>
      </x:c>
      <x:c r="F12" s="154" t="str">
        <x:v>Een identiteit moet richting geven aan keuzes, niet alleen mooi staan op een shirt.</x:v>
      </x:c>
      <x:c r="G12" s="154" t="str">
        <x:v>Naam en positionering.</x:v>
      </x:c>
      <x:c r="H12" s="154" t="str">
        <x:v>Kernwaarden, toon en visuele stijl.</x:v>
      </x:c>
      <x:c r="I12" s="154" t="str">
        <x:v>Vertaling naar communicatie en dagelijkse werking.</x:v>
      </x:c>
      <x:c r="J12" s="154" t="str">
        <x:v>https://setpiece.nl/cases/mv-artemis</x:v>
      </x:c>
      <x:c r="K12" s="154" t="str">
        <x:v>Checklist-document, 7 slides</x:v>
      </x:c>
      <x:c r="L12" s="154" t="str">
        <x:v>Naam, positionering, kernwaarden, toon, visuele stijl, dagelijkse toepassing</x:v>
      </x:c>
      <x:c r="M12" s="154" t="str">
        <x:v>Gebruik deze zes punten als check in de volgende bestuursvergadering.</x:v>
      </x:c>
      <x:c r="N12" s="163"/>
    </x:row>
    <x:row r="13" ht="76" customHeight="1">
      <x:c r="A13" s="154" t="str">
        <x:v>SP-09</x:v>
      </x:c>
      <x:c r="B13" s="154" t="str">
        <x:v>Nathan</x:v>
      </x:c>
      <x:c r="C13" s="154" t="str">
        <x:v>Standpunt</x:v>
      </x:c>
      <x:c r="D13" s="154" t="str">
        <x:v>Herkenning</x:v>
      </x:c>
      <x:c r="E13" s="154" t="str">
        <x:v>Clubmarketing loopt vast zonder eigenaarschap</x:v>
      </x:c>
      <x:c r="F13" s="154" t="str">
        <x:v>Een contentkalender lost weinig op als niemand de keuzes bewaakt en iedereen last minute iets toevoegt.</x:v>
      </x:c>
      <x:c r="G13" s="154" t="str">
        <x:v>Een planning zonder eigenaar wordt een wensenlijst.</x:v>
      </x:c>
      <x:c r="H13" s="154" t="str">
        <x:v>Richting en uitvoering zijn twee verschillende rollen.</x:v>
      </x:c>
      <x:c r="I13" s="154" t="str">
        <x:v>Eén beslisser beschermt focus en ritme.</x:v>
      </x:c>
      <x:c r="J13" s="154" t="str">
        <x:v>Eigen Setpiece-methodiek</x:v>
      </x:c>
      <x:c r="K13" s="154" t="str">
        <x:v>Tekstpost</x:v>
      </x:c>
      <x:c r="L13" s="154" t="str">
        <x:v>Geen asset</x:v>
      </x:c>
      <x:c r="M13" s="154" t="str">
        <x:v>Wie is bij jullie echt eigenaar van marketing en communicatie?</x:v>
      </x:c>
      <x:c r="N13" s="163"/>
    </x:row>
    <x:row r="14" ht="76" customHeight="1">
      <x:c r="A14" s="154" t="str">
        <x:v>SP-10</x:v>
      </x:c>
      <x:c r="B14" s="154" t="str">
        <x:v>Setpiece</x:v>
      </x:c>
      <x:c r="C14" s="154" t="str">
        <x:v>Praktische waarde</x:v>
      </x:c>
      <x:c r="D14" s="154" t="str">
        <x:v>Opslaan</x:v>
      </x:c>
      <x:c r="E14" s="154" t="str">
        <x:v>Een werkbaar communicatieritme in vier stappen</x:v>
      </x:c>
      <x:c r="F14" s="154" t="str">
        <x:v>Goede clubcommunicatie begint niet bij vaker posten, maar bij een ritme dat vrijwilligers kunnen volhouden.</x:v>
      </x:c>
      <x:c r="G14" s="154" t="str">
        <x:v>Kies doelen en terugkerende thema's.</x:v>
      </x:c>
      <x:c r="H14" s="154" t="str">
        <x:v>Wijs per onderwerp een eigenaar aan.</x:v>
      </x:c>
      <x:c r="I14" s="154" t="str">
        <x:v>Plan, publiceer en evalueer in een klein vast ritme.</x:v>
      </x:c>
      <x:c r="J14" s="154" t="str">
        <x:v>Eigen Setpiece-methodiek</x:v>
      </x:c>
      <x:c r="K14" s="154" t="str">
        <x:v>Document, 5 slides</x:v>
      </x:c>
      <x:c r="L14" s="154" t="str">
        <x:v>Doelen, thema's, eigenaar, weekritme, evaluatie</x:v>
      </x:c>
      <x:c r="M14" s="154" t="str">
        <x:v>Welke stap ontbreekt nu in jullie ritme?</x:v>
      </x:c>
      <x:c r="N14" s="163"/>
    </x:row>
    <x:row r="15" ht="76" customHeight="1">
      <x:c r="A15" s="154" t="str">
        <x:v>SP-11</x:v>
      </x:c>
      <x:c r="B15" s="154" t="str">
        <x:v>Nathan</x:v>
      </x:c>
      <x:c r="C15" s="154" t="str">
        <x:v>Werkwijze</x:v>
      </x:c>
      <x:c r="D15" s="154" t="str">
        <x:v>Vertrouwen</x:v>
      </x:c>
      <x:c r="E15" s="154" t="str">
        <x:v>Wat een goede brainstorm aan het einde moet opleveren</x:v>
      </x:c>
      <x:c r="F15" s="154" t="str">
        <x:v>Een brainstorm is geen geslaagde sessie omdat er veel post-its hangen. Hij is geslaagd als de volgende keuze duidelijk is.</x:v>
      </x:c>
      <x:c r="G15" s="154" t="str">
        <x:v>Start met één scherpe vraag.</x:v>
      </x:c>
      <x:c r="H15" s="154" t="str">
        <x:v>Breng opties en consequenties terug tot keuzes.</x:v>
      </x:c>
      <x:c r="I15" s="154" t="str">
        <x:v>Sluit af met eigenaar en eerstvolgende actie.</x:v>
      </x:c>
      <x:c r="J15" s="154" t="str">
        <x:v>Eigen Setpiece-methodiek</x:v>
      </x:c>
      <x:c r="K15" s="154" t="str">
        <x:v>Foto + tekst</x:v>
      </x:c>
      <x:c r="L15" s="154" t="str">
        <x:v>Foto van werktafel, schetsen of digitaal bord</x:v>
      </x:c>
      <x:c r="M15" s="154" t="str">
        <x:v>Heb je een vraagstuk dat blijft rondzingen? Stuur mij het woord brainstorm.</x:v>
      </x:c>
      <x:c r="N15" s="163"/>
    </x:row>
    <x:row r="16" ht="76" customHeight="1">
      <x:c r="A16" s="154" t="str">
        <x:v>SP-12</x:v>
      </x:c>
      <x:c r="B16" s="154" t="str">
        <x:v>Setpiece</x:v>
      </x:c>
      <x:c r="C16" s="154" t="str">
        <x:v>Aanbod</x:v>
      </x:c>
      <x:c r="D16" s="154" t="str">
        <x:v>Conversie</x:v>
      </x:c>
      <x:c r="E16" s="154" t="str">
        <x:v>Van vast vraagstuk naar een helder spelplan</x:v>
      </x:c>
      <x:c r="F16" s="154" t="str">
        <x:v>Soms is geen groot traject nodig. Wel negentig minuten waarin het echte probleem boven tafel komt.</x:v>
      </x:c>
      <x:c r="G16" s="154" t="str">
        <x:v>Gericht voor vraagstukken die vastzitten.</x:v>
      </x:c>
      <x:c r="H16" s="154" t="str">
        <x:v>Van losse ideeën naar richting en prioriteit.</x:v>
      </x:c>
      <x:c r="I16" s="154" t="str">
        <x:v>Uitkomst moet direct bruikbaar zijn.</x:v>
      </x:c>
      <x:c r="J16" s="154" t="str">
        <x:v>Eigen Setpiece-methodiek</x:v>
      </x:c>
      <x:c r="K16" s="154" t="str">
        <x:v>Single image + korte tekst</x:v>
      </x:c>
      <x:c r="L16" s="154" t="str">
        <x:v>Branded aanbodkaart met probleem, sessie, uitkomst</x:v>
      </x:c>
      <x:c r="M16" s="154" t="str">
        <x:v>Plan een gerichte brainstormsessie via setpiece.nl.</x:v>
      </x:c>
      <x:c r="N16" s="163"/>
    </x:row>
    <x:row r="17" ht="76" customHeight="1">
      <x:c r="A17" s="154" t="str">
        <x:v>SP-13</x:v>
      </x:c>
      <x:c r="B17" s="154" t="str">
        <x:v>Nathan</x:v>
      </x:c>
      <x:c r="C17" s="154" t="str">
        <x:v>Standpunt</x:v>
      </x:c>
      <x:c r="D17" s="154" t="str">
        <x:v>Overweging</x:v>
      </x:c>
      <x:c r="E17" s="154" t="str">
        <x:v>Wanneer tijdelijke marketingkracht slimmer is dan direct werven</x:v>
      </x:c>
      <x:c r="F17" s="154" t="str">
        <x:v>Niet ieder marketingprobleem vraagt meteen om een nieuwe vaste functie.</x:v>
      </x:c>
      <x:c r="G17" s="154" t="str">
        <x:v>Er is tijdelijk een gat in senioriteit.</x:v>
      </x:c>
      <x:c r="H17" s="154" t="str">
        <x:v>Een campagne of verandering vraagt direct eigenaarschap.</x:v>
      </x:c>
      <x:c r="I17" s="154" t="str">
        <x:v>De organisatie wil eerst weten welke vaste rol echt nodig is.</x:v>
      </x:c>
      <x:c r="J17" s="154" t="str">
        <x:v>Eigen Setpiece-methodiek</x:v>
      </x:c>
      <x:c r="K17" s="154" t="str">
        <x:v>Tekstpost</x:v>
      </x:c>
      <x:c r="L17" s="154" t="str">
        <x:v>Geen asset of rustige portretfoto</x:v>
      </x:c>
      <x:c r="M17" s="154" t="str">
        <x:v>Waar ontbreekt nu tijdelijk richting of uitvoeringskracht?</x:v>
      </x:c>
      <x:c r="N17" s="163"/>
    </x:row>
    <x:row r="18" ht="76" customHeight="1">
      <x:c r="A18" s="154" t="str">
        <x:v>SP-14</x:v>
      </x:c>
      <x:c r="B18" s="154" t="str">
        <x:v>Setpiece</x:v>
      </x:c>
      <x:c r="C18" s="154" t="str">
        <x:v>Aanbod</x:v>
      </x:c>
      <x:c r="D18" s="154" t="str">
        <x:v>Conversie</x:v>
      </x:c>
      <x:c r="E18" s="154" t="str">
        <x:v>De eerste dertig dagen van interim marketing</x:v>
      </x:c>
      <x:c r="F18" s="154" t="str">
        <x:v>Interim marketing werkt alleen als er snel overzicht, keuzes en ritme komen.</x:v>
      </x:c>
      <x:c r="G18" s="154" t="str">
        <x:v>Week 1: luisteren en analyseren.</x:v>
      </x:c>
      <x:c r="H18" s="154" t="str">
        <x:v>Week 2 en 3: keuzes maken en uitvoeren.</x:v>
      </x:c>
      <x:c r="I18" s="154" t="str">
        <x:v>Week 4: ritme, eigenaarschap en overdracht borgen.</x:v>
      </x:c>
      <x:c r="J18" s="154" t="str">
        <x:v>Eigen Setpiece-methodiek</x:v>
      </x:c>
      <x:c r="K18" s="154" t="str">
        <x:v>Document, 5 slides</x:v>
      </x:c>
      <x:c r="L18" s="154" t="str">
        <x:v>Week 1 luisteren, week 2 kiezen, week 3 uitvoeren, week 4 borgen</x:v>
      </x:c>
      <x:c r="M18" s="154" t="str">
        <x:v>Bespreek een interim marketing- of communicatievraagstuk via een bericht.</x:v>
      </x:c>
      <x:c r="N18" s="163"/>
    </x:row>
    <x:row r="19" ht="76" customHeight="1">
      <x:c r="A19" s="154" t="str">
        <x:v>SP-15</x:v>
      </x:c>
      <x:c r="B19" s="154" t="str">
        <x:v>Nathan</x:v>
      </x:c>
      <x:c r="C19" s="154" t="str">
        <x:v>Werkwijze</x:v>
      </x:c>
      <x:c r="D19" s="154" t="str">
        <x:v>Gesprek</x:v>
      </x:c>
      <x:c r="E19" s="154" t="str">
        <x:v>Wat acht weken consequent publiceren heeft geleerd</x:v>
      </x:c>
      <x:c r="F19" s="154" t="str">
        <x:v>Consistent posten is pas nuttig als je ook durft te stoppen met wat niets oplevert.</x:v>
      </x:c>
      <x:c r="G19" s="154" t="str">
        <x:v>Vergelijk formats op relevante reactie, niet alleen bereik.</x:v>
      </x:c>
      <x:c r="H19" s="154" t="str">
        <x:v>Maak vervolgen op onderwerpen die gesprekken starten.</x:v>
      </x:c>
      <x:c r="I19" s="154" t="str">
        <x:v>Stop met formats die veel werk en weinig waarde geven.</x:v>
      </x:c>
      <x:c r="J19" s="154" t="str">
        <x:v>LinkedIn-analytics na week 8</x:v>
      </x:c>
      <x:c r="K19" s="154" t="str">
        <x:v>Reflectie + eenvoudige data</x:v>
      </x:c>
      <x:c r="L19" s="154" t="str">
        <x:v>Screenshot of eenvoudige tegel met drie lessen</x:v>
      </x:c>
      <x:c r="M19" s="154" t="str">
        <x:v>Welk onderwerp moet ik de komende maand verder uitwerken?</x:v>
      </x:c>
      <x:c r="N19" s="163"/>
    </x:row>
    <x:row r="20" ht="76" customHeight="1">
      <x:c r="A20" s="155" t="str">
        <x:v>SP-16</x:v>
      </x:c>
      <x:c r="B20" s="155" t="str">
        <x:v>Setpiece</x:v>
      </x:c>
      <x:c r="C20" s="155" t="str">
        <x:v>Aanbod</x:v>
      </x:c>
      <x:c r="D20" s="155" t="str">
        <x:v>Conversie</x:v>
      </x:c>
      <x:c r="E20" s="155" t="str">
        <x:v>Welk digitaal clubvraagstuk moet als eerste worden opgelost?</x:v>
      </x:c>
      <x:c r="F20" s="155" t="str">
        <x:v>Niet ieder vraagstuk vraagt om een nieuwe website, app of AI-oplossing. De eerste stap is scherp kiezen.</x:v>
      </x:c>
      <x:c r="G20" s="155" t="str">
        <x:v>Diagnose voor oplossing.</x:v>
      </x:c>
      <x:c r="H20" s="155" t="str">
        <x:v>Brainstorm voor richting, interim voor tijdelijke slagkracht.</x:v>
      </x:c>
      <x:c r="I20" s="155" t="str">
        <x:v>Bouw alleen als het vraagstuk en de waarde helder zijn.</x:v>
      </x:c>
      <x:c r="J20" s="155" t="str">
        <x:v>Eigen Setpiece-methodiek</x:v>
      </x:c>
      <x:c r="K20" s="155" t="str">
        <x:v>Single image + tekst</x:v>
      </x:c>
      <x:c r="L20" s="155" t="str">
        <x:v>Keuzekaart met drie routes</x:v>
      </x:c>
      <x:c r="M20" s="155" t="str">
        <x:v>Stuur het grootste knelpunt. Setpiece geeft aan of brainstorm, interim inzet of een bouwtraject past.</x:v>
      </x:c>
      <x:c r="N20" s="164"/>
    </x:row>
  </x:sheetData>
  <x:mergeCells>
    <x:mergeCell ref="A1:N2"/>
    <x:mergeCell ref="A3:N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32" hidden="0" customWidth="1"/>
    <x:col min="5" max="5" width="13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4" hidden="0" customWidth="1"/>
    <x:col min="11" max="11" width="9" hidden="0" customWidth="1"/>
    <x:col min="12" max="12" width="22" hidden="0" customWidth="1"/>
    <x:col min="13" max="13" width="17" hidden="0" customWidth="1"/>
    <x:col min="14" max="14" width="40" hidden="0" customWidth="1"/>
  </x:cols>
  <x:sheetData>
    <x:row r="1">
      <x:c r="A1" s="3" t="str">
        <x:v>Resultaten en learnings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6" t="str">
        <x:v>Vul de gele velden iedere vrijdag in; de KPI's op Start hier worden automatisch bijgewerkt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65" t="str">
        <x:v>ID</x:v>
      </x:c>
      <x:c r="B4" s="66" t="str">
        <x:v>Datum</x:v>
      </x:c>
      <x:c r="C4" s="66" t="str">
        <x:v>Kanaal</x:v>
      </x:c>
      <x:c r="D4" s="66" t="str">
        <x:v>Onderwerp</x:v>
      </x:c>
      <x:c r="E4" s="66" t="str">
        <x:v>Impressies</x:v>
      </x:c>
      <x:c r="F4" s="66" t="str">
        <x:v>Reacties</x:v>
      </x:c>
      <x:c r="G4" s="66" t="str">
        <x:v>Comments</x:v>
      </x:c>
      <x:c r="H4" s="66" t="str">
        <x:v>Reposts</x:v>
      </x:c>
      <x:c r="I4" s="66" t="str">
        <x:v>Klikken</x:v>
      </x:c>
      <x:c r="J4" s="66" t="str">
        <x:v>Nieuwe volgers</x:v>
      </x:c>
      <x:c r="K4" s="66" t="str">
        <x:v>DM's</x:v>
      </x:c>
      <x:c r="L4" s="66" t="str">
        <x:v>Gekwalificeerde gesprekken</x:v>
      </x:c>
      <x:c r="M4" s="66" t="str">
        <x:v>Engagement rate</x:v>
      </x:c>
      <x:c r="N4" s="67" t="str">
        <x:v>Wat leren we?</x:v>
      </x:c>
    </x:row>
    <x:row r="5" ht="38" customHeight="1">
      <x:c r="A5" s="144" t="str">
        <x:f>'Contentkalender'!A5</x:f>
        <x:v>SP-01</x:v>
      </x:c>
      <x:c r="B5" s="147" t="n">
        <x:f>'Contentkalender'!C5</x:f>
        <x:v>46224.416666666664</x:v>
      </x:c>
      <x:c r="C5" s="144" t="str">
        <x:f>'Contentkalender'!E5</x:f>
        <x:v>Nathan</x:v>
      </x:c>
      <x:c r="D5" s="153" t="str">
        <x:f>'Contentkalender'!H5</x:f>
        <x:v>Sportclubs hebben niet nóg een tool nodig</x:v>
      </x:c>
      <x:c r="E5" s="165"/>
      <x:c r="F5" s="165"/>
      <x:c r="G5" s="165"/>
      <x:c r="H5" s="165"/>
      <x:c r="I5" s="165"/>
      <x:c r="J5" s="165"/>
      <x:c r="K5" s="165"/>
      <x:c r="L5" s="165"/>
      <x:c r="M5" s="168" t="n">
        <x:f>IF(E5=0,0,(F5+G5+H5+I5)/E5)</x:f>
        <x:v>0</x:v>
      </x:c>
      <x:c r="N5" s="162"/>
    </x:row>
    <x:row r="6" ht="38" customHeight="1">
      <x:c r="A6" s="145" t="str">
        <x:f>'Contentkalender'!A6</x:f>
        <x:v>SP-02</x:v>
      </x:c>
      <x:c r="B6" s="148" t="n">
        <x:f>'Contentkalender'!C6</x:f>
        <x:v>46226.416666666664</x:v>
      </x:c>
      <x:c r="C6" s="145" t="str">
        <x:f>'Contentkalender'!E6</x:f>
        <x:v>Setpiece</x:v>
      </x:c>
      <x:c r="D6" s="154" t="str">
        <x:f>'Contentkalender'!H6</x:f>
        <x:v>Van losse middelen naar één digitale clubervaring</x:v>
      </x:c>
      <x:c r="E6" s="166"/>
      <x:c r="F6" s="166"/>
      <x:c r="G6" s="166"/>
      <x:c r="H6" s="166"/>
      <x:c r="I6" s="166"/>
      <x:c r="J6" s="166"/>
      <x:c r="K6" s="166"/>
      <x:c r="L6" s="166"/>
      <x:c r="M6" s="169" t="n">
        <x:f>IF(E6=0,0,(F6+G6+H6+I6)/E6)</x:f>
        <x:v>0</x:v>
      </x:c>
      <x:c r="N6" s="163"/>
    </x:row>
    <x:row r="7" ht="38" customHeight="1">
      <x:c r="A7" s="145" t="str">
        <x:f>'Contentkalender'!A7</x:f>
        <x:v>SP-03</x:v>
      </x:c>
      <x:c r="B7" s="148" t="n">
        <x:f>'Contentkalender'!C7</x:f>
        <x:v>46231.416666666664</x:v>
      </x:c>
      <x:c r="C7" s="145" t="str">
        <x:f>'Contentkalender'!E7</x:f>
        <x:v>Nathan</x:v>
      </x:c>
      <x:c r="D7" s="154" t="str">
        <x:f>'Contentkalender'!H7</x:f>
        <x:v>Waarom website en app dezelfde basis nodig hebben</x:v>
      </x:c>
      <x:c r="E7" s="166"/>
      <x:c r="F7" s="166"/>
      <x:c r="G7" s="166"/>
      <x:c r="H7" s="166"/>
      <x:c r="I7" s="166"/>
      <x:c r="J7" s="166"/>
      <x:c r="K7" s="166"/>
      <x:c r="L7" s="166"/>
      <x:c r="M7" s="169" t="n">
        <x:f>IF(E7=0,0,(F7+G7+H7+I7)/E7)</x:f>
        <x:v>0</x:v>
      </x:c>
      <x:c r="N7" s="163"/>
    </x:row>
    <x:row r="8" ht="38" customHeight="1">
      <x:c r="A8" s="145" t="str">
        <x:f>'Contentkalender'!A8</x:f>
        <x:v>SP-04</x:v>
      </x:c>
      <x:c r="B8" s="148" t="n">
        <x:f>'Contentkalender'!C8</x:f>
        <x:v>46233.416666666664</x:v>
      </x:c>
      <x:c r="C8" s="145" t="str">
        <x:f>'Contentkalender'!E8</x:f>
        <x:v>Setpiece</x:v>
      </x:c>
      <x:c r="D8" s="154" t="str">
        <x:f>'Contentkalender'!H8</x:f>
        <x:v>MV Artemis: van naam en merk tot clubsite en app</x:v>
      </x:c>
      <x:c r="E8" s="166"/>
      <x:c r="F8" s="166"/>
      <x:c r="G8" s="166"/>
      <x:c r="H8" s="166"/>
      <x:c r="I8" s="166"/>
      <x:c r="J8" s="166"/>
      <x:c r="K8" s="166"/>
      <x:c r="L8" s="166"/>
      <x:c r="M8" s="169" t="n">
        <x:f>IF(E8=0,0,(F8+G8+H8+I8)/E8)</x:f>
        <x:v>0</x:v>
      </x:c>
      <x:c r="N8" s="163"/>
    </x:row>
    <x:row r="9" ht="38" customHeight="1">
      <x:c r="A9" s="145" t="str">
        <x:f>'Contentkalender'!A9</x:f>
        <x:v>SP-05</x:v>
      </x:c>
      <x:c r="B9" s="148" t="n">
        <x:f>'Contentkalender'!C9</x:f>
        <x:v>46238.416666666664</x:v>
      </x:c>
      <x:c r="C9" s="145" t="str">
        <x:f>'Contentkalender'!E9</x:f>
        <x:v>Nathan</x:v>
      </x:c>
      <x:c r="D9" s="154" t="str">
        <x:f>'Contentkalender'!H9</x:f>
        <x:v>ChatGPT gebruiken is nog geen AI-strategie</x:v>
      </x:c>
      <x:c r="E9" s="166"/>
      <x:c r="F9" s="166"/>
      <x:c r="G9" s="166"/>
      <x:c r="H9" s="166"/>
      <x:c r="I9" s="166"/>
      <x:c r="J9" s="166"/>
      <x:c r="K9" s="166"/>
      <x:c r="L9" s="166"/>
      <x:c r="M9" s="169" t="n">
        <x:f>IF(E9=0,0,(F9+G9+H9+I9)/E9)</x:f>
        <x:v>0</x:v>
      </x:c>
      <x:c r="N9" s="163"/>
    </x:row>
    <x:row r="10" ht="38" customHeight="1">
      <x:c r="A10" s="145" t="str">
        <x:f>'Contentkalender'!A10</x:f>
        <x:v>SP-06</x:v>
      </x:c>
      <x:c r="B10" s="148" t="n">
        <x:f>'Contentkalender'!C10</x:f>
        <x:v>46240.416666666664</x:v>
      </x:c>
      <x:c r="C10" s="145" t="str">
        <x:f>'Contentkalender'!E10</x:f>
        <x:v>Setpiece</x:v>
      </x:c>
      <x:c r="D10" s="154" t="str">
        <x:f>'Contentkalender'!H10</x:f>
        <x:v>Vijf praktische AI-toepassingen voor sportclubs</x:v>
      </x:c>
      <x:c r="E10" s="166"/>
      <x:c r="F10" s="166"/>
      <x:c r="G10" s="166"/>
      <x:c r="H10" s="166"/>
      <x:c r="I10" s="166"/>
      <x:c r="J10" s="166"/>
      <x:c r="K10" s="166"/>
      <x:c r="L10" s="166"/>
      <x:c r="M10" s="169" t="n">
        <x:f>IF(E10=0,0,(F10+G10+H10+I10)/E10)</x:f>
        <x:v>0</x:v>
      </x:c>
      <x:c r="N10" s="163"/>
    </x:row>
    <x:row r="11" ht="38" customHeight="1">
      <x:c r="A11" s="145" t="str">
        <x:f>'Contentkalender'!A11</x:f>
        <x:v>SP-07</x:v>
      </x:c>
      <x:c r="B11" s="148" t="n">
        <x:f>'Contentkalender'!C11</x:f>
        <x:v>46245.416666666664</x:v>
      </x:c>
      <x:c r="C11" s="145" t="str">
        <x:f>'Contentkalender'!E11</x:f>
        <x:v>Nathan</x:v>
      </x:c>
      <x:c r="D11" s="154" t="str">
        <x:f>'Contentkalender'!H11</x:f>
        <x:v>Een clubidentiteit is geen logo</x:v>
      </x:c>
      <x:c r="E11" s="166"/>
      <x:c r="F11" s="166"/>
      <x:c r="G11" s="166"/>
      <x:c r="H11" s="166"/>
      <x:c r="I11" s="166"/>
      <x:c r="J11" s="166"/>
      <x:c r="K11" s="166"/>
      <x:c r="L11" s="166"/>
      <x:c r="M11" s="169" t="n">
        <x:f>IF(E11=0,0,(F11+G11+H11+I11)/E11)</x:f>
        <x:v>0</x:v>
      </x:c>
      <x:c r="N11" s="163"/>
    </x:row>
    <x:row r="12" ht="38" customHeight="1">
      <x:c r="A12" s="145" t="str">
        <x:f>'Contentkalender'!A12</x:f>
        <x:v>SP-08</x:v>
      </x:c>
      <x:c r="B12" s="148" t="n">
        <x:f>'Contentkalender'!C12</x:f>
        <x:v>46247.416666666664</x:v>
      </x:c>
      <x:c r="C12" s="145" t="str">
        <x:f>'Contentkalender'!E12</x:f>
        <x:v>Setpiece</x:v>
      </x:c>
      <x:c r="D12" s="154" t="str">
        <x:f>'Contentkalender'!H12</x:f>
        <x:v>Zes onderdelen van een bruikbare clubidentiteit</x:v>
      </x:c>
      <x:c r="E12" s="166"/>
      <x:c r="F12" s="166"/>
      <x:c r="G12" s="166"/>
      <x:c r="H12" s="166"/>
      <x:c r="I12" s="166"/>
      <x:c r="J12" s="166"/>
      <x:c r="K12" s="166"/>
      <x:c r="L12" s="166"/>
      <x:c r="M12" s="169" t="n">
        <x:f>IF(E12=0,0,(F12+G12+H12+I12)/E12)</x:f>
        <x:v>0</x:v>
      </x:c>
      <x:c r="N12" s="163"/>
    </x:row>
    <x:row r="13" ht="38" customHeight="1">
      <x:c r="A13" s="145" t="str">
        <x:f>'Contentkalender'!A13</x:f>
        <x:v>SP-09</x:v>
      </x:c>
      <x:c r="B13" s="148" t="n">
        <x:f>'Contentkalender'!C13</x:f>
        <x:v>46252.416666666664</x:v>
      </x:c>
      <x:c r="C13" s="145" t="str">
        <x:f>'Contentkalender'!E13</x:f>
        <x:v>Nathan</x:v>
      </x:c>
      <x:c r="D13" s="154" t="str">
        <x:f>'Contentkalender'!H13</x:f>
        <x:v>Clubmarketing loopt vast zonder eigenaarschap</x:v>
      </x:c>
      <x:c r="E13" s="166"/>
      <x:c r="F13" s="166"/>
      <x:c r="G13" s="166"/>
      <x:c r="H13" s="166"/>
      <x:c r="I13" s="166"/>
      <x:c r="J13" s="166"/>
      <x:c r="K13" s="166"/>
      <x:c r="L13" s="166"/>
      <x:c r="M13" s="169" t="n">
        <x:f>IF(E13=0,0,(F13+G13+H13+I13)/E13)</x:f>
        <x:v>0</x:v>
      </x:c>
      <x:c r="N13" s="163"/>
    </x:row>
    <x:row r="14" ht="38" customHeight="1">
      <x:c r="A14" s="145" t="str">
        <x:f>'Contentkalender'!A14</x:f>
        <x:v>SP-10</x:v>
      </x:c>
      <x:c r="B14" s="148" t="n">
        <x:f>'Contentkalender'!C14</x:f>
        <x:v>46254.416666666664</x:v>
      </x:c>
      <x:c r="C14" s="145" t="str">
        <x:f>'Contentkalender'!E14</x:f>
        <x:v>Setpiece</x:v>
      </x:c>
      <x:c r="D14" s="154" t="str">
        <x:f>'Contentkalender'!H14</x:f>
        <x:v>Een werkbaar communicatieritme in vier stappen</x:v>
      </x:c>
      <x:c r="E14" s="166"/>
      <x:c r="F14" s="166"/>
      <x:c r="G14" s="166"/>
      <x:c r="H14" s="166"/>
      <x:c r="I14" s="166"/>
      <x:c r="J14" s="166"/>
      <x:c r="K14" s="166"/>
      <x:c r="L14" s="166"/>
      <x:c r="M14" s="169" t="n">
        <x:f>IF(E14=0,0,(F14+G14+H14+I14)/E14)</x:f>
        <x:v>0</x:v>
      </x:c>
      <x:c r="N14" s="163"/>
    </x:row>
    <x:row r="15" ht="38" customHeight="1">
      <x:c r="A15" s="145" t="str">
        <x:f>'Contentkalender'!A15</x:f>
        <x:v>SP-11</x:v>
      </x:c>
      <x:c r="B15" s="148" t="n">
        <x:f>'Contentkalender'!C15</x:f>
        <x:v>46259.416666666664</x:v>
      </x:c>
      <x:c r="C15" s="145" t="str">
        <x:f>'Contentkalender'!E15</x:f>
        <x:v>Nathan</x:v>
      </x:c>
      <x:c r="D15" s="154" t="str">
        <x:f>'Contentkalender'!H15</x:f>
        <x:v>Wat een goede brainstorm aan het einde moet opleveren</x:v>
      </x:c>
      <x:c r="E15" s="166"/>
      <x:c r="F15" s="166"/>
      <x:c r="G15" s="166"/>
      <x:c r="H15" s="166"/>
      <x:c r="I15" s="166"/>
      <x:c r="J15" s="166"/>
      <x:c r="K15" s="166"/>
      <x:c r="L15" s="166"/>
      <x:c r="M15" s="169" t="n">
        <x:f>IF(E15=0,0,(F15+G15+H15+I15)/E15)</x:f>
        <x:v>0</x:v>
      </x:c>
      <x:c r="N15" s="163"/>
    </x:row>
    <x:row r="16" ht="38" customHeight="1">
      <x:c r="A16" s="145" t="str">
        <x:f>'Contentkalender'!A16</x:f>
        <x:v>SP-12</x:v>
      </x:c>
      <x:c r="B16" s="148" t="n">
        <x:f>'Contentkalender'!C16</x:f>
        <x:v>46261.416666666664</x:v>
      </x:c>
      <x:c r="C16" s="145" t="str">
        <x:f>'Contentkalender'!E16</x:f>
        <x:v>Setpiece</x:v>
      </x:c>
      <x:c r="D16" s="154" t="str">
        <x:f>'Contentkalender'!H16</x:f>
        <x:v>Van vast vraagstuk naar een helder spelplan</x:v>
      </x:c>
      <x:c r="E16" s="166"/>
      <x:c r="F16" s="166"/>
      <x:c r="G16" s="166"/>
      <x:c r="H16" s="166"/>
      <x:c r="I16" s="166"/>
      <x:c r="J16" s="166"/>
      <x:c r="K16" s="166"/>
      <x:c r="L16" s="166"/>
      <x:c r="M16" s="169" t="n">
        <x:f>IF(E16=0,0,(F16+G16+H16+I16)/E16)</x:f>
        <x:v>0</x:v>
      </x:c>
      <x:c r="N16" s="163"/>
    </x:row>
    <x:row r="17" ht="38" customHeight="1">
      <x:c r="A17" s="145" t="str">
        <x:f>'Contentkalender'!A17</x:f>
        <x:v>SP-13</x:v>
      </x:c>
      <x:c r="B17" s="148" t="n">
        <x:f>'Contentkalender'!C17</x:f>
        <x:v>46266.416666666664</x:v>
      </x:c>
      <x:c r="C17" s="145" t="str">
        <x:f>'Contentkalender'!E17</x:f>
        <x:v>Nathan</x:v>
      </x:c>
      <x:c r="D17" s="154" t="str">
        <x:f>'Contentkalender'!H17</x:f>
        <x:v>Wanneer tijdelijke marketingkracht slimmer is dan direct werven</x:v>
      </x:c>
      <x:c r="E17" s="166"/>
      <x:c r="F17" s="166"/>
      <x:c r="G17" s="166"/>
      <x:c r="H17" s="166"/>
      <x:c r="I17" s="166"/>
      <x:c r="J17" s="166"/>
      <x:c r="K17" s="166"/>
      <x:c r="L17" s="166"/>
      <x:c r="M17" s="169" t="n">
        <x:f>IF(E17=0,0,(F17+G17+H17+I17)/E17)</x:f>
        <x:v>0</x:v>
      </x:c>
      <x:c r="N17" s="163"/>
    </x:row>
    <x:row r="18" ht="38" customHeight="1">
      <x:c r="A18" s="145" t="str">
        <x:f>'Contentkalender'!A18</x:f>
        <x:v>SP-14</x:v>
      </x:c>
      <x:c r="B18" s="148" t="n">
        <x:f>'Contentkalender'!C18</x:f>
        <x:v>46268.416666666664</x:v>
      </x:c>
      <x:c r="C18" s="145" t="str">
        <x:f>'Contentkalender'!E18</x:f>
        <x:v>Setpiece</x:v>
      </x:c>
      <x:c r="D18" s="154" t="str">
        <x:f>'Contentkalender'!H18</x:f>
        <x:v>De eerste dertig dagen van interim marketing</x:v>
      </x:c>
      <x:c r="E18" s="166"/>
      <x:c r="F18" s="166"/>
      <x:c r="G18" s="166"/>
      <x:c r="H18" s="166"/>
      <x:c r="I18" s="166"/>
      <x:c r="J18" s="166"/>
      <x:c r="K18" s="166"/>
      <x:c r="L18" s="166"/>
      <x:c r="M18" s="169" t="n">
        <x:f>IF(E18=0,0,(F18+G18+H18+I18)/E18)</x:f>
        <x:v>0</x:v>
      </x:c>
      <x:c r="N18" s="163"/>
    </x:row>
    <x:row r="19" ht="38" customHeight="1">
      <x:c r="A19" s="145" t="str">
        <x:f>'Contentkalender'!A19</x:f>
        <x:v>SP-15</x:v>
      </x:c>
      <x:c r="B19" s="148" t="n">
        <x:f>'Contentkalender'!C19</x:f>
        <x:v>46273.416666666664</x:v>
      </x:c>
      <x:c r="C19" s="145" t="str">
        <x:f>'Contentkalender'!E19</x:f>
        <x:v>Nathan</x:v>
      </x:c>
      <x:c r="D19" s="154" t="str">
        <x:f>'Contentkalender'!H19</x:f>
        <x:v>Wat acht weken consequent publiceren heeft geleerd</x:v>
      </x:c>
      <x:c r="E19" s="166"/>
      <x:c r="F19" s="166"/>
      <x:c r="G19" s="166"/>
      <x:c r="H19" s="166"/>
      <x:c r="I19" s="166"/>
      <x:c r="J19" s="166"/>
      <x:c r="K19" s="166"/>
      <x:c r="L19" s="166"/>
      <x:c r="M19" s="169" t="n">
        <x:f>IF(E19=0,0,(F19+G19+H19+I19)/E19)</x:f>
        <x:v>0</x:v>
      </x:c>
      <x:c r="N19" s="163"/>
    </x:row>
    <x:row r="20" ht="38" customHeight="1">
      <x:c r="A20" s="146" t="str">
        <x:f>'Contentkalender'!A20</x:f>
        <x:v>SP-16</x:v>
      </x:c>
      <x:c r="B20" s="149" t="n">
        <x:f>'Contentkalender'!C20</x:f>
        <x:v>46275.416666666664</x:v>
      </x:c>
      <x:c r="C20" s="146" t="str">
        <x:f>'Contentkalender'!E20</x:f>
        <x:v>Setpiece</x:v>
      </x:c>
      <x:c r="D20" s="155" t="str">
        <x:f>'Contentkalender'!H20</x:f>
        <x:v>Welk digitaal clubvraagstuk moet als eerste worden opgelost?</x:v>
      </x:c>
      <x:c r="E20" s="167"/>
      <x:c r="F20" s="167"/>
      <x:c r="G20" s="167"/>
      <x:c r="H20" s="167"/>
      <x:c r="I20" s="167"/>
      <x:c r="J20" s="167"/>
      <x:c r="K20" s="167"/>
      <x:c r="L20" s="167"/>
      <x:c r="M20" s="170" t="n">
        <x:f>IF(E20=0,0,(F20+G20+H20+I20)/E20)</x:f>
        <x:v>0</x:v>
      </x:c>
      <x:c r="N20" s="164"/>
    </x:row>
  </x:sheetData>
  <x:mergeCells>
    <x:mergeCell ref="A1:N2"/>
    <x:mergeCell ref="A3:N3"/>
  </x:mergeCells>
  <x:pageMargins left="0.7" right="0.7" top="0.75" bottom="0.75" header="0.3" footer="0.3"/>
</x:worksheet>
</file>